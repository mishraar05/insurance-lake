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Legend" sheetId="2" state="visible" r:id="rId4"/>
    <sheet name="Summary" sheetId="3" state="visible" r:id="rId5"/>
  </sheets>
  <definedNames>
    <definedName function="false" hidden="true" localSheetId="0" name="_xlnm._FilterDatabase" vbProcedure="false">Backlog!$A$1:$M$116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<sst xmlns="http://schemas.openxmlformats.org/spreadsheetml/2006/main" count="1609" uniqueCount="687">
  <si>
    <t xml:space="preserve">Task ID</t>
  </si>
  <si>
    <t xml:space="preserve">Theme (Epic)</t>
  </si>
  <si>
    <t xml:space="preserve">Capability (Feature)</t>
  </si>
  <si>
    <t xml:space="preserve">Sub-capability (Story)</t>
  </si>
  <si>
    <t xml:space="preserve">Task</t>
  </si>
  <si>
    <t xml:space="preserve">Description</t>
  </si>
  <si>
    <t xml:space="preserve">Acceptance criteria</t>
  </si>
  <si>
    <t xml:space="preserve">Size</t>
  </si>
  <si>
    <t xml:space="preserve">Priority</t>
  </si>
  <si>
    <t xml:space="preserve">Dependencies</t>
  </si>
  <si>
    <t xml:space="preserve">Owner role</t>
  </si>
  <si>
    <t xml:space="preserve">Phase</t>
  </si>
  <si>
    <t xml:space="preserve">Status</t>
  </si>
  <si>
    <t xml:space="preserve">FND-001</t>
  </si>
  <si>
    <t xml:space="preserve">Foundation &amp; ABC Modernization</t>
  </si>
  <si>
    <t xml:space="preserve">Metadata/Config Model</t>
  </si>
  <si>
    <t xml:space="preserve">Define config model</t>
  </si>
  <si>
    <t xml:space="preserve">Spec: author metadata/config model (.md)</t>
  </si>
  <si>
    <t xml:space="preserve">Define config entities: source, target, load, transform, DQ rule, recon rule, masking rule, dependency.</t>
  </si>
  <si>
    <t xml:space="preserve">Spec reviewed and approved; covers all framework config objects and ABC linkage.</t>
  </si>
  <si>
    <t xml:space="preserve">M</t>
  </si>
  <si>
    <t xml:space="preserve">Must</t>
  </si>
  <si>
    <t xml:space="preserve">-</t>
  </si>
  <si>
    <t xml:space="preserve">Architect</t>
  </si>
  <si>
    <t xml:space="preserve">Foundation</t>
  </si>
  <si>
    <t xml:space="preserve">Not Started</t>
  </si>
  <si>
    <t xml:space="preserve">FND-002</t>
  </si>
  <si>
    <t xml:space="preserve">Design Delta control tables (DDL)</t>
  </si>
  <si>
    <t xml:space="preserve">Physical control tables for the config registry and their relationship to existing ABC tables.</t>
  </si>
  <si>
    <t xml:space="preserve">DDL created in Unity Catalog; FKs/keys defined; aligns with ABC schema.</t>
  </si>
  <si>
    <t xml:space="preserve">Data Engineer</t>
  </si>
  <si>
    <t xml:space="preserve">FND-003</t>
  </si>
  <si>
    <t xml:space="preserve">Config runtime</t>
  </si>
  <si>
    <t xml:space="preserve">Implement config loader + validator</t>
  </si>
  <si>
    <t xml:space="preserve">Typed config loader with schema validation and helpful errors.</t>
  </si>
  <si>
    <t xml:space="preserve">Loads sample config; rejects invalid config with clear messages; unit-tested.</t>
  </si>
  <si>
    <t xml:space="preserve">FND-004</t>
  </si>
  <si>
    <t xml:space="preserve">Seed example P&amp;C configs</t>
  </si>
  <si>
    <t xml:space="preserve">Example configs for one policy feed and one harmonization transform.</t>
  </si>
  <si>
    <t xml:space="preserve">Configs load and drive a sample run end to end.</t>
  </si>
  <si>
    <t xml:space="preserve">S</t>
  </si>
  <si>
    <t xml:space="preserve">Should</t>
  </si>
  <si>
    <t xml:space="preserve">FND-005</t>
  </si>
  <si>
    <t xml:space="preserve">Config governance</t>
  </si>
  <si>
    <t xml:space="preserve">Config versioning + change audit</t>
  </si>
  <si>
    <t xml:space="preserve">Version metadata changes and record who/when/what to ABC.</t>
  </si>
  <si>
    <t xml:space="preserve">Edits are versioned; change history queryable in ABC.</t>
  </si>
  <si>
    <t xml:space="preserve">FND-010</t>
  </si>
  <si>
    <t xml:space="preserve">ABC SDK</t>
  </si>
  <si>
    <t xml:space="preserve">ABC interface</t>
  </si>
  <si>
    <t xml:space="preserve">Spec: ABC SDK interface (.md)</t>
  </si>
  <si>
    <t xml:space="preserve">Define start_run/end_run/log_balance/log_dq/log_exception/log_cost contract.</t>
  </si>
  <si>
    <t xml:space="preserve">Interface signed off; mapped to existing ABC tables.</t>
  </si>
  <si>
    <t xml:space="preserve">FND-011</t>
  </si>
  <si>
    <t xml:space="preserve">Implement ABC SDK (workspace Python modules)</t>
  </si>
  <si>
    <t xml:space="preserve">Reusable SDK wrapping existing ABC Delta tables; replaces direct table writes.</t>
  </si>
  <si>
    <t xml:space="preserve">SDK delivered as workspace Python modules; writes verified against ABC tables.</t>
  </si>
  <si>
    <t xml:space="preserve">L</t>
  </si>
  <si>
    <t xml:space="preserve">FND-012</t>
  </si>
  <si>
    <t xml:space="preserve">Notebook modernization</t>
  </si>
  <si>
    <t xml:space="preserve">Migrate existing ABC notebooks to SDK</t>
  </si>
  <si>
    <t xml:space="preserve">Refactor current ABC-interfacing notebooks to call the SDK (real environment).</t>
  </si>
  <si>
    <t xml:space="preserve">Notebooks use SDK; behavior parity with current ABC logging.</t>
  </si>
  <si>
    <t xml:space="preserve">Build (Paid)</t>
  </si>
  <si>
    <t xml:space="preserve">FND-013</t>
  </si>
  <si>
    <t xml:space="preserve">Quality</t>
  </si>
  <si>
    <t xml:space="preserve">Unit tests for ABC SDK</t>
  </si>
  <si>
    <t xml:space="preserve">Cover run lifecycle, balance, DQ, exception, cost logging.</t>
  </si>
  <si>
    <t xml:space="preserve">Coverage &gt; 80% on SDK; tests pass in CI.</t>
  </si>
  <si>
    <t xml:space="preserve">QA</t>
  </si>
  <si>
    <t xml:space="preserve">FND-014</t>
  </si>
  <si>
    <t xml:space="preserve">Backward-compat check vs ABC schema</t>
  </si>
  <si>
    <t xml:space="preserve">Confirm SDK writes match existing ABC schema/consumers.</t>
  </si>
  <si>
    <t xml:space="preserve">No breaking change to existing ABC consumers.</t>
  </si>
  <si>
    <t xml:space="preserve">FND-020</t>
  </si>
  <si>
    <t xml:space="preserve">Core Control Skills</t>
  </si>
  <si>
    <t xml:space="preserve">Self-governance</t>
  </si>
  <si>
    <t xml:space="preserve">Self-Review skill</t>
  </si>
  <si>
    <t xml:space="preserve">Agent validates generated artifacts against standards before submitting.</t>
  </si>
  <si>
    <t xml:space="preserve">Generated artifacts pass a standards checklist; violations flagged.</t>
  </si>
  <si>
    <t xml:space="preserve">ML/AI Engineer</t>
  </si>
  <si>
    <t xml:space="preserve">FND-021</t>
  </si>
  <si>
    <t xml:space="preserve">Confidence Scoring</t>
  </si>
  <si>
    <t xml:space="preserve">Attach confidence to agent outputs; route low-confidence to human.</t>
  </si>
  <si>
    <t xml:space="preserve">Each output carries a confidence score; threshold routes to HITL.</t>
  </si>
  <si>
    <t xml:space="preserve">FND-022</t>
  </si>
  <si>
    <t xml:space="preserve">Cost Tracking skill</t>
  </si>
  <si>
    <t xml:space="preserve">Capture per-run DBU/time/Genie-session consumption to ABC.</t>
  </si>
  <si>
    <t xml:space="preserve">Consumption metrics logged per run; queryable for FinOps.</t>
  </si>
  <si>
    <t xml:space="preserve">FND-023</t>
  </si>
  <si>
    <t xml:space="preserve">Structured Logging + trace IDs</t>
  </si>
  <si>
    <t xml:space="preserve">Standardized run/event logging with correlation/trace IDs to ABC.</t>
  </si>
  <si>
    <t xml:space="preserve">All framework steps emit structured logs with trace IDs.</t>
  </si>
  <si>
    <t xml:space="preserve">FND-030</t>
  </si>
  <si>
    <t xml:space="preserve">Repo &amp; Standards</t>
  </si>
  <si>
    <t xml:space="preserve">Scaffolding</t>
  </si>
  <si>
    <t xml:space="preserve">Repo / workspace-files layout</t>
  </si>
  <si>
    <t xml:space="preserve">Workspace / Git-folder layout and dependency conventions (no wheel).</t>
  </si>
  <si>
    <t xml:space="preserve">Source organized as workspace files; CI hook runs checks.</t>
  </si>
  <si>
    <t xml:space="preserve">Platform/DevOps</t>
  </si>
  <si>
    <t xml:space="preserve">FND-031</t>
  </si>
  <si>
    <t xml:space="preserve">Standards</t>
  </si>
  <si>
    <t xml:space="preserve">Coding standards + design principles doc</t>
  </si>
  <si>
    <t xml:space="preserve">Modularity, strategy/factory, DI, idempotency, naming conventions.</t>
  </si>
  <si>
    <t xml:space="preserve">Doc published; adopted as review checklist.</t>
  </si>
  <si>
    <t xml:space="preserve">FND-032</t>
  </si>
  <si>
    <t xml:space="preserve">Test harness</t>
  </si>
  <si>
    <t xml:space="preserve">Test framework setup</t>
  </si>
  <si>
    <t xml:space="preserve">pytest + Spark serverless test harness for transforms and rules.</t>
  </si>
  <si>
    <t xml:space="preserve">Sample test runs locally and in CI.</t>
  </si>
  <si>
    <t xml:space="preserve">ING-001</t>
  </si>
  <si>
    <t xml:space="preserve">Ingestion Framework</t>
  </si>
  <si>
    <t xml:space="preserve">Engine Abstraction</t>
  </si>
  <si>
    <t xml:space="preserve">Framework design</t>
  </si>
  <si>
    <t xml:space="preserve">Spec: ingestion framework (.md)</t>
  </si>
  <si>
    <t xml:space="preserve">Config contract, engine selector, capability matrix for ingestion.</t>
  </si>
  <si>
    <t xml:space="preserve">Spec approved; covers batch/stream, declarative/non-declarative, append/SCD2.</t>
  </si>
  <si>
    <t xml:space="preserve">ING-002</t>
  </si>
  <si>
    <t xml:space="preserve">Engine selector</t>
  </si>
  <si>
    <t xml:space="preserve">Design declarative vs non-declarative selector</t>
  </si>
  <si>
    <t xml:space="preserve">Abstraction so one config targets Lakeflow DP or Structured Streaming/batch.</t>
  </si>
  <si>
    <t xml:space="preserve">Selector switches engine by config; documented.</t>
  </si>
  <si>
    <t xml:space="preserve">ING-010</t>
  </si>
  <si>
    <t xml:space="preserve">Batch Load</t>
  </si>
  <si>
    <t xml:space="preserve">Full load</t>
  </si>
  <si>
    <t xml:space="preserve">Batch full-load reader to bronze (non-declarative)</t>
  </si>
  <si>
    <t xml:space="preserve">Generic batch reader writing raw to bronze.</t>
  </si>
  <si>
    <t xml:space="preserve">Loads a file/table source to bronze with audit.</t>
  </si>
  <si>
    <t xml:space="preserve">ING-011</t>
  </si>
  <si>
    <t xml:space="preserve">Incremental</t>
  </si>
  <si>
    <t xml:space="preserve">Batch incremental load with watermark</t>
  </si>
  <si>
    <t xml:space="preserve">High-water-mark tracking for incremental pulls.</t>
  </si>
  <si>
    <t xml:space="preserve">Only new/changed records loaded; watermark persisted.</t>
  </si>
  <si>
    <t xml:space="preserve">ING-012</t>
  </si>
  <si>
    <t xml:space="preserve">Declarative</t>
  </si>
  <si>
    <t xml:space="preserve">Declarative batch ingestion (Lakeflow DP)</t>
  </si>
  <si>
    <t xml:space="preserve">Batch ingestion expressed as a declarative pipeline.</t>
  </si>
  <si>
    <t xml:space="preserve">Declarative pipeline lands bronze; parity with non-declarative.</t>
  </si>
  <si>
    <t xml:space="preserve">ING-020</t>
  </si>
  <si>
    <t xml:space="preserve">Stream Load</t>
  </si>
  <si>
    <t xml:space="preserve">File streaming</t>
  </si>
  <si>
    <t xml:space="preserve">Auto Loader streaming to bronze</t>
  </si>
  <si>
    <t xml:space="preserve">Incremental file streaming via Auto Loader (non-declarative).</t>
  </si>
  <si>
    <t xml:space="preserve">Streams files to bronze with checkpointing.</t>
  </si>
  <si>
    <t xml:space="preserve">ING-021</t>
  </si>
  <si>
    <t xml:space="preserve">Declarative stream</t>
  </si>
  <si>
    <t xml:space="preserve">Declarative streaming table (Lakeflow DP)</t>
  </si>
  <si>
    <t xml:space="preserve">Streaming table with optional real-time mode.</t>
  </si>
  <si>
    <t xml:space="preserve">Declarative streaming ingestion runs; bounded latency.</t>
  </si>
  <si>
    <t xml:space="preserve">ING-022</t>
  </si>
  <si>
    <t xml:space="preserve">Message bus</t>
  </si>
  <si>
    <t xml:space="preserve">Message-bus connector (Kafka/Kinesis/EventHub)</t>
  </si>
  <si>
    <t xml:space="preserve">Streaming ingestion from message buses.</t>
  </si>
  <si>
    <t xml:space="preserve">Consumes from a topic to bronze (paid; FE has no external access).</t>
  </si>
  <si>
    <t xml:space="preserve">Could</t>
  </si>
  <si>
    <t xml:space="preserve">ING-030</t>
  </si>
  <si>
    <t xml:space="preserve">Load Patterns</t>
  </si>
  <si>
    <t xml:space="preserve">Append</t>
  </si>
  <si>
    <t xml:space="preserve">Append load pattern</t>
  </si>
  <si>
    <t xml:space="preserve">Append-only landing for immutable/event data.</t>
  </si>
  <si>
    <t xml:space="preserve">Appends without duplication; idempotent reruns.</t>
  </si>
  <si>
    <t xml:space="preserve">ING-031</t>
  </si>
  <si>
    <t xml:space="preserve">SCD2</t>
  </si>
  <si>
    <t xml:space="preserve">SCD2 load pattern</t>
  </si>
  <si>
    <t xml:space="preserve">Declarative APPLY CHANGES and non-declarative MERGE variants.</t>
  </si>
  <si>
    <t xml:space="preserve">SCD2 history correct for inserts/updates/deletes; both engines.</t>
  </si>
  <si>
    <t xml:space="preserve">ING-040</t>
  </si>
  <si>
    <t xml:space="preserve">Source Connectors</t>
  </si>
  <si>
    <t xml:space="preserve">CDC</t>
  </si>
  <si>
    <t xml:space="preserve">Lakeflow Connect CDC config (DB sources)</t>
  </si>
  <si>
    <t xml:space="preserve">CDC from policy/claims systems (Guidewire/Duck Creek) on paid.</t>
  </si>
  <si>
    <t xml:space="preserve">CDC ingests changes with lineage in Unity Catalog.</t>
  </si>
  <si>
    <t xml:space="preserve">ING-041</t>
  </si>
  <si>
    <t xml:space="preserve">Synthetic data</t>
  </si>
  <si>
    <t xml:space="preserve">Synthetic P&amp;C source generator (PoC)</t>
  </si>
  <si>
    <t xml:space="preserve">Generate policy/claims/payment files for Free Edition benchmark.</t>
  </si>
  <si>
    <t xml:space="preserve">Realistic synthetic feeds available in cloud storage.</t>
  </si>
  <si>
    <t xml:space="preserve">PoC-Benchmark (Free)</t>
  </si>
  <si>
    <t xml:space="preserve">ING-050</t>
  </si>
  <si>
    <t xml:space="preserve">Resilience</t>
  </si>
  <si>
    <t xml:space="preserve">Schema drift</t>
  </si>
  <si>
    <t xml:space="preserve">Schema drift detection + handling</t>
  </si>
  <si>
    <t xml:space="preserve">Detect source schema changes; evolve or quarantine.</t>
  </si>
  <si>
    <t xml:space="preserve">Drift detected; configurable evolve/quarantine action.</t>
  </si>
  <si>
    <t xml:space="preserve">ING-051</t>
  </si>
  <si>
    <t xml:space="preserve">Error handling</t>
  </si>
  <si>
    <t xml:space="preserve">Dead-letter / quarantine + replay</t>
  </si>
  <si>
    <t xml:space="preserve">Route bad records to quarantine and support replay.</t>
  </si>
  <si>
    <t xml:space="preserve">Bad records quarantined; replay reprocesses cleanly.</t>
  </si>
  <si>
    <t xml:space="preserve">ING-052</t>
  </si>
  <si>
    <t xml:space="preserve">ABC hooks</t>
  </si>
  <si>
    <t xml:space="preserve">ABC instrumentation for ingestion</t>
  </si>
  <si>
    <t xml:space="preserve">Emit audit + balance (row counts) per ingestion run.</t>
  </si>
  <si>
    <t xml:space="preserve">Run logged; source/target counts captured for recon.</t>
  </si>
  <si>
    <t xml:space="preserve">HARM-001</t>
  </si>
  <si>
    <t xml:space="preserve">Harmonization / Curation Framework</t>
  </si>
  <si>
    <t xml:space="preserve">Spec: harmonization framework (.md)</t>
  </si>
  <si>
    <t xml:space="preserve">Transform engine, layers, SCD, latency, mapping contract.</t>
  </si>
  <si>
    <t xml:space="preserve">Spec approved; covers silver and gold, declarative/non-declarative.</t>
  </si>
  <si>
    <t xml:space="preserve">HARM-002</t>
  </si>
  <si>
    <t xml:space="preserve">Transform engine</t>
  </si>
  <si>
    <t xml:space="preserve">Transform engine abstraction (SQL + Spark)</t>
  </si>
  <si>
    <t xml:space="preserve">Support query-based and Spark-API transforms via one config.</t>
  </si>
  <si>
    <t xml:space="preserve">Both transform styles run from config.</t>
  </si>
  <si>
    <t xml:space="preserve">HARM-010</t>
  </si>
  <si>
    <t xml:space="preserve">Standardization &amp; Cleansing</t>
  </si>
  <si>
    <t xml:space="preserve">UDF framework</t>
  </si>
  <si>
    <t xml:space="preserve">UDF registry framework (SQL + Spark)</t>
  </si>
  <si>
    <t xml:space="preserve">Register/version reusable UDFs callable from config.</t>
  </si>
  <si>
    <t xml:space="preserve">UDFs registered and invoked by config.</t>
  </si>
  <si>
    <t xml:space="preserve">HARM-011</t>
  </si>
  <si>
    <t xml:space="preserve">Standardization</t>
  </si>
  <si>
    <t xml:space="preserve">Standardization UDF library</t>
  </si>
  <si>
    <t xml:space="preserve">Dates, codes, currency, address standardization UDFs.</t>
  </si>
  <si>
    <t xml:space="preserve">Standard formats applied; tested on samples.</t>
  </si>
  <si>
    <t xml:space="preserve">HARM-012</t>
  </si>
  <si>
    <t xml:space="preserve">Cleansing</t>
  </si>
  <si>
    <t xml:space="preserve">Cleansing UDF library</t>
  </si>
  <si>
    <t xml:space="preserve">Null handling, format fixes, dedup, validation UDFs.</t>
  </si>
  <si>
    <t xml:space="preserve">Cleansing rules applied; measurable quality lift.</t>
  </si>
  <si>
    <t xml:space="preserve">HARM-020</t>
  </si>
  <si>
    <t xml:space="preserve">Mapping</t>
  </si>
  <si>
    <t xml:space="preserve">Source-to-target</t>
  </si>
  <si>
    <t xml:space="preserve">Source-to-target mapping config + applier</t>
  </si>
  <si>
    <t xml:space="preserve">Mapping engine bronze to silver to gold.</t>
  </si>
  <si>
    <t xml:space="preserve">Mappings drive transforms; outputs match spec.</t>
  </si>
  <si>
    <t xml:space="preserve">HARM-021</t>
  </si>
  <si>
    <t xml:space="preserve">Canonical model</t>
  </si>
  <si>
    <t xml:space="preserve">Conform to ACORD-aligned canonical model</t>
  </si>
  <si>
    <t xml:space="preserve">Map to party/policy/coverage/claim/payment/loss entities.</t>
  </si>
  <si>
    <t xml:space="preserve">Silver conforms to canonical schema.</t>
  </si>
  <si>
    <t xml:space="preserve">HARM-030</t>
  </si>
  <si>
    <t xml:space="preserve">Engine Modes</t>
  </si>
  <si>
    <t xml:space="preserve">Declarative curation (Lakeflow DP)</t>
  </si>
  <si>
    <t xml:space="preserve">Materialized views / streaming tables for silver/gold.</t>
  </si>
  <si>
    <t xml:space="preserve">Declarative curation runs; parity with non-declarative.</t>
  </si>
  <si>
    <t xml:space="preserve">HARM-031</t>
  </si>
  <si>
    <t xml:space="preserve">Non-declarative</t>
  </si>
  <si>
    <t xml:space="preserve">Non-declarative curation (batch + streaming + MERGE)</t>
  </si>
  <si>
    <t xml:space="preserve">Custom Spark transforms with MERGE for upserts.</t>
  </si>
  <si>
    <t xml:space="preserve">Non-declarative path runs; results match.</t>
  </si>
  <si>
    <t xml:space="preserve">HARM-040</t>
  </si>
  <si>
    <t xml:space="preserve">Latency</t>
  </si>
  <si>
    <t xml:space="preserve">Micro-batch</t>
  </si>
  <si>
    <t xml:space="preserve">Micro-batch processing mode</t>
  </si>
  <si>
    <t xml:space="preserve">Scheduled micro-batch curation.</t>
  </si>
  <si>
    <t xml:space="preserve">Micro-batch runs at configured interval.</t>
  </si>
  <si>
    <t xml:space="preserve">HARM-041</t>
  </si>
  <si>
    <t xml:space="preserve">Near real-time</t>
  </si>
  <si>
    <t xml:space="preserve">Near-real-time mode</t>
  </si>
  <si>
    <t xml:space="preserve">Low-latency / real-time mode curation.</t>
  </si>
  <si>
    <t xml:space="preserve">Sub-minute latency on streaming path (paid/scale).</t>
  </si>
  <si>
    <t xml:space="preserve">HARM-050</t>
  </si>
  <si>
    <t xml:space="preserve">SCD &amp; Layers</t>
  </si>
  <si>
    <t xml:space="preserve">SCD1</t>
  </si>
  <si>
    <t xml:space="preserve">SCD1 pattern</t>
  </si>
  <si>
    <t xml:space="preserve">Overwrite-on-change dimension handling.</t>
  </si>
  <si>
    <t xml:space="preserve">SCD1 produces latest-state correctly.</t>
  </si>
  <si>
    <t xml:space="preserve">HARM-051</t>
  </si>
  <si>
    <t xml:space="preserve">SCD2 pattern</t>
  </si>
  <si>
    <t xml:space="preserve">History-preserving dimension handling.</t>
  </si>
  <si>
    <t xml:space="preserve">SCD2 versions correct across changes.</t>
  </si>
  <si>
    <t xml:space="preserve">HARM-052</t>
  </si>
  <si>
    <t xml:space="preserve">Append pattern</t>
  </si>
  <si>
    <t xml:space="preserve">Append fact/event rows.</t>
  </si>
  <si>
    <t xml:space="preserve">Appends without duplication.</t>
  </si>
  <si>
    <t xml:space="preserve">HARM-053</t>
  </si>
  <si>
    <t xml:space="preserve">Gold marts</t>
  </si>
  <si>
    <t xml:space="preserve">Gold-layer marts builder</t>
  </si>
  <si>
    <t xml:space="preserve">Build claims, underwriting/policy, customer-360 marts.</t>
  </si>
  <si>
    <t xml:space="preserve">Gold marts populated from silver per spec.</t>
  </si>
  <si>
    <t xml:space="preserve">HARM-054</t>
  </si>
  <si>
    <t xml:space="preserve">ABC instrumentation for harmonization</t>
  </si>
  <si>
    <t xml:space="preserve">Emit audit + balance per curation run.</t>
  </si>
  <si>
    <t xml:space="preserve">Run logged; counts/control totals captured.</t>
  </si>
  <si>
    <t xml:space="preserve">DQ-001</t>
  </si>
  <si>
    <t xml:space="preserve">Data Quality Framework</t>
  </si>
  <si>
    <t xml:space="preserve">Rule Definition</t>
  </si>
  <si>
    <t xml:space="preserve">Spec: DQ framework (.md)</t>
  </si>
  <si>
    <t xml:space="preserve">Rule schema, scopes, at-rest/in-motion, actions, monitoring.</t>
  </si>
  <si>
    <t xml:space="preserve">Spec approved; covers warn/block/quarantine.</t>
  </si>
  <si>
    <t xml:space="preserve">DQ-002</t>
  </si>
  <si>
    <t xml:space="preserve">Rule model</t>
  </si>
  <si>
    <t xml:space="preserve">DQ rule model + config tables</t>
  </si>
  <si>
    <t xml:space="preserve">Rule, scope, threshold, severity, action metadata.</t>
  </si>
  <si>
    <t xml:space="preserve">Rules definable via config; validated.</t>
  </si>
  <si>
    <t xml:space="preserve">DQ-010</t>
  </si>
  <si>
    <t xml:space="preserve">In-Motion</t>
  </si>
  <si>
    <t xml:space="preserve">In-motion DQ via DLT expectations</t>
  </si>
  <si>
    <t xml:space="preserve">Expectations on declarative pipelines.</t>
  </si>
  <si>
    <t xml:space="preserve">Expectations enforce rules during flow.</t>
  </si>
  <si>
    <t xml:space="preserve">DQ-011</t>
  </si>
  <si>
    <t xml:space="preserve">In-motion DQ for non-declarative path</t>
  </si>
  <si>
    <t xml:space="preserve">Inline checks within Spark transforms.</t>
  </si>
  <si>
    <t xml:space="preserve">Rules enforced inline; failures captured.</t>
  </si>
  <si>
    <t xml:space="preserve">DQ-020</t>
  </si>
  <si>
    <t xml:space="preserve">At-Rest</t>
  </si>
  <si>
    <t xml:space="preserve">Monitoring</t>
  </si>
  <si>
    <t xml:space="preserve">At-rest DQ via Lakehouse Monitoring</t>
  </si>
  <si>
    <t xml:space="preserve">Profiles + metrics on landed tables.</t>
  </si>
  <si>
    <t xml:space="preserve">Monitors produce profile + drift metrics.</t>
  </si>
  <si>
    <t xml:space="preserve">DQ-030</t>
  </si>
  <si>
    <t xml:space="preserve">Actions</t>
  </si>
  <si>
    <t xml:space="preserve">Action engine</t>
  </si>
  <si>
    <t xml:space="preserve">Action engine: warn / block / quarantine</t>
  </si>
  <si>
    <t xml:space="preserve">Configurable action semantics per rule severity.</t>
  </si>
  <si>
    <t xml:space="preserve">Each action behaves per spec; logged.</t>
  </si>
  <si>
    <t xml:space="preserve">DQ-031</t>
  </si>
  <si>
    <t xml:space="preserve">Quarantine</t>
  </si>
  <si>
    <t xml:space="preserve">Quarantine store + reprocess</t>
  </si>
  <si>
    <t xml:space="preserve">Route failing records and support reprocessing.</t>
  </si>
  <si>
    <t xml:space="preserve">Quarantine populated; reprocess clears valid records.</t>
  </si>
  <si>
    <t xml:space="preserve">DQ-040</t>
  </si>
  <si>
    <t xml:space="preserve">Reporting</t>
  </si>
  <si>
    <t xml:space="preserve">DQ results to ABC + DQ dashboard</t>
  </si>
  <si>
    <t xml:space="preserve">Persist DQ outcomes to ABC; build monitoring dashboard.</t>
  </si>
  <si>
    <t xml:space="preserve">Dashboard shows pass/fail trends by rule/feed.</t>
  </si>
  <si>
    <t xml:space="preserve">DQ-041</t>
  </si>
  <si>
    <t xml:space="preserve">DQ rule unit tests + fixtures</t>
  </si>
  <si>
    <t xml:space="preserve">Tests for rule evaluation and actions.</t>
  </si>
  <si>
    <t xml:space="preserve">Rule tests pass for pass/fail/edge cases.</t>
  </si>
  <si>
    <t xml:space="preserve">REC-001</t>
  </si>
  <si>
    <t xml:space="preserve">Reconciliation Framework</t>
  </si>
  <si>
    <t xml:space="preserve">Design</t>
  </si>
  <si>
    <t xml:space="preserve">Spec: reconciliation framework (.md)</t>
  </si>
  <si>
    <t xml:space="preserve">Recon types, tolerances, source-of-record, ABC Balance link.</t>
  </si>
  <si>
    <t xml:space="preserve">Spec approved; covers count + financial control totals.</t>
  </si>
  <si>
    <t xml:space="preserve">REC-002</t>
  </si>
  <si>
    <t xml:space="preserve">Recon rule model + config</t>
  </si>
  <si>
    <t xml:space="preserve">Count, control-total, cross-layer, source-of-record, tolerance.</t>
  </si>
  <si>
    <t xml:space="preserve">Recon rules definable via config.</t>
  </si>
  <si>
    <t xml:space="preserve">REC-010</t>
  </si>
  <si>
    <t xml:space="preserve">Checks</t>
  </si>
  <si>
    <t xml:space="preserve">Counts</t>
  </si>
  <si>
    <t xml:space="preserve">Row-count reconciliation across layers</t>
  </si>
  <si>
    <t xml:space="preserve">Source/bronze/silver/gold count balancing.</t>
  </si>
  <si>
    <t xml:space="preserve">Count breaks detected within tolerance.</t>
  </si>
  <si>
    <t xml:space="preserve">REC-011</t>
  </si>
  <si>
    <t xml:space="preserve">Control totals</t>
  </si>
  <si>
    <t xml:space="preserve">Financial control-total reconciliation</t>
  </si>
  <si>
    <t xml:space="preserve">Premium/claim/payment sum balancing across layers.</t>
  </si>
  <si>
    <t xml:space="preserve">Amount breaks detected and reported.</t>
  </si>
  <si>
    <t xml:space="preserve">REC-012</t>
  </si>
  <si>
    <t xml:space="preserve">Tolerance</t>
  </si>
  <si>
    <t xml:space="preserve">Tolerance + break classification</t>
  </si>
  <si>
    <t xml:space="preserve">Thresholds and severity classification for breaks.</t>
  </si>
  <si>
    <t xml:space="preserve">Breaks classified; within-tolerance passes.</t>
  </si>
  <si>
    <t xml:space="preserve">REC-020</t>
  </si>
  <si>
    <t xml:space="preserve">ABC Balance</t>
  </si>
  <si>
    <t xml:space="preserve">Recon results to ABC Balance + dashboard</t>
  </si>
  <si>
    <t xml:space="preserve">Persist recon to ABC Balance; build recon dashboard.</t>
  </si>
  <si>
    <t xml:space="preserve">Dashboard shows breaks by feed/layer.</t>
  </si>
  <si>
    <t xml:space="preserve">REC-021</t>
  </si>
  <si>
    <t xml:space="preserve">Investigation</t>
  </si>
  <si>
    <t xml:space="preserve">Recon break investigator hooks</t>
  </si>
  <si>
    <t xml:space="preserve">Drill to differing keys/amounts across layers.</t>
  </si>
  <si>
    <t xml:space="preserve">Analyst can trace a break to records.</t>
  </si>
  <si>
    <t xml:space="preserve">MASK-001</t>
  </si>
  <si>
    <t xml:space="preserve">Data Masking</t>
  </si>
  <si>
    <t xml:space="preserve">Spec: masking framework (.md)</t>
  </si>
  <si>
    <t xml:space="preserve">Classification, policy, technique (dynamic vs physical).</t>
  </si>
  <si>
    <t xml:space="preserve">Spec approved; covers PII/PHI handling.</t>
  </si>
  <si>
    <t xml:space="preserve">MASK-002</t>
  </si>
  <si>
    <t xml:space="preserve">Classification</t>
  </si>
  <si>
    <t xml:space="preserve">PII tagging</t>
  </si>
  <si>
    <t xml:space="preserve">PII/PHI classification + UC tagging</t>
  </si>
  <si>
    <t xml:space="preserve">Classify sensitive columns and tag in Unity Catalog.</t>
  </si>
  <si>
    <t xml:space="preserve">Sensitive columns tagged; catalog reflects tags.</t>
  </si>
  <si>
    <t xml:space="preserve">MASK-010</t>
  </si>
  <si>
    <t xml:space="preserve">Techniques</t>
  </si>
  <si>
    <t xml:space="preserve">Dynamic</t>
  </si>
  <si>
    <t xml:space="preserve">Dynamic masking via UC column/row masks</t>
  </si>
  <si>
    <t xml:space="preserve">Column masks + row filters (ABAC) at read.</t>
  </si>
  <si>
    <t xml:space="preserve">Unauthorized users see masked values.</t>
  </si>
  <si>
    <t xml:space="preserve">MASK-011</t>
  </si>
  <si>
    <t xml:space="preserve">Physical</t>
  </si>
  <si>
    <t xml:space="preserve">Physical masking: tokenize/hash at write</t>
  </si>
  <si>
    <t xml:space="preserve">Reversible tokenization and irreversible hashing.</t>
  </si>
  <si>
    <t xml:space="preserve">Configured columns tokenized/hashed at write.</t>
  </si>
  <si>
    <t xml:space="preserve">MASK-020</t>
  </si>
  <si>
    <t xml:space="preserve">Policy</t>
  </si>
  <si>
    <t xml:space="preserve">Applier</t>
  </si>
  <si>
    <t xml:space="preserve">Metadata-driven masking applier</t>
  </si>
  <si>
    <t xml:space="preserve">Apply masking based on classification + policy config.</t>
  </si>
  <si>
    <t xml:space="preserve">Masking applied per config across layers.</t>
  </si>
  <si>
    <t xml:space="preserve">MASK-021</t>
  </si>
  <si>
    <t xml:space="preserve">Audit</t>
  </si>
  <si>
    <t xml:space="preserve">Masking + access audit to ABC</t>
  </si>
  <si>
    <t xml:space="preserve">Audit masking application and sensitive-data access.</t>
  </si>
  <si>
    <t xml:space="preserve">Masking and access events logged for compliance.</t>
  </si>
  <si>
    <t xml:space="preserve">AGENT-001</t>
  </si>
  <si>
    <t xml:space="preserve">Agentic Solution</t>
  </si>
  <si>
    <t xml:space="preserve">Architecture</t>
  </si>
  <si>
    <t xml:space="preserve">Spec: agentic solution architecture (.md)</t>
  </si>
  <si>
    <t xml:space="preserve">Tools, Genie Code vs Agent Bricks, HITL, audit, guardrails.</t>
  </si>
  <si>
    <t xml:space="preserve">Spec approved; defines build-time vs run-time skills.</t>
  </si>
  <si>
    <t xml:space="preserve">AGENT-002</t>
  </si>
  <si>
    <t xml:space="preserve">Govern loop</t>
  </si>
  <si>
    <t xml:space="preserve">Govern loop: HITL + feedback + audit</t>
  </si>
  <si>
    <t xml:space="preserve">Approval workflow, feedback capture, agent audit trail to ABC.</t>
  </si>
  <si>
    <t xml:space="preserve">Every agent action approved + logged; feedback stored.</t>
  </si>
  <si>
    <t xml:space="preserve">AGENT-003</t>
  </si>
  <si>
    <t xml:space="preserve">Router / Supervisor</t>
  </si>
  <si>
    <t xml:space="preserve">Router / Supervisor agent (Agent Bricks)</t>
  </si>
  <si>
    <t xml:space="preserve">Genie supervisor that classifies intent and routes to framework-dev / authoring / runtime / interaction skills in dependency order, govern-looped and ABC-logged.</t>
  </si>
  <si>
    <t xml:space="preserve">Routes a build/onboard/operate request to the correct skills in order; HITL-gated; logged to ABC.</t>
  </si>
  <si>
    <t xml:space="preserve">AGENT-010</t>
  </si>
  <si>
    <t xml:space="preserve">Build-time Skills</t>
  </si>
  <si>
    <t xml:space="preserve">Metadata population</t>
  </si>
  <si>
    <t xml:space="preserve">Metadata population skill</t>
  </si>
  <si>
    <t xml:space="preserve">Profile a source and draft ingestion/harmonization config.</t>
  </si>
  <si>
    <t xml:space="preserve">Agent drafts valid config; human approves.</t>
  </si>
  <si>
    <t xml:space="preserve">AGENT-011</t>
  </si>
  <si>
    <t xml:space="preserve">Source-to-target mapping suggestion</t>
  </si>
  <si>
    <t xml:space="preserve">Propose mappings using schema + profiling + canonical model.</t>
  </si>
  <si>
    <t xml:space="preserve">Suggested mappings accepted with edits.</t>
  </si>
  <si>
    <t xml:space="preserve">AGENT-012</t>
  </si>
  <si>
    <t xml:space="preserve">Code-gen</t>
  </si>
  <si>
    <t xml:space="preserve">Transformation code-generation skill</t>
  </si>
  <si>
    <t xml:space="preserve">Generate SQL/Spark transforms from mapping.</t>
  </si>
  <si>
    <t xml:space="preserve">Generated code runs and passes tests.</t>
  </si>
  <si>
    <t xml:space="preserve">AGENT-013</t>
  </si>
  <si>
    <t xml:space="preserve">DQ rules</t>
  </si>
  <si>
    <t xml:space="preserve">DQ rule suggestion skill</t>
  </si>
  <si>
    <t xml:space="preserve">Propose DQ rules + thresholds from profiles.</t>
  </si>
  <si>
    <t xml:space="preserve">Suggested rules reviewed and deployed.</t>
  </si>
  <si>
    <t xml:space="preserve">AGENT-014</t>
  </si>
  <si>
    <t xml:space="preserve">Recon rules</t>
  </si>
  <si>
    <t xml:space="preserve">Reconciliation rule generation skill</t>
  </si>
  <si>
    <t xml:space="preserve">Propose count and control-total recon checks.</t>
  </si>
  <si>
    <t xml:space="preserve">Suggested recon rules accepted.</t>
  </si>
  <si>
    <t xml:space="preserve">AGENT-015</t>
  </si>
  <si>
    <t xml:space="preserve">Masking</t>
  </si>
  <si>
    <t xml:space="preserve">PII + masking-policy suggestion skill</t>
  </si>
  <si>
    <t xml:space="preserve">Classify PII and suggest masking policy/config.</t>
  </si>
  <si>
    <t xml:space="preserve">Classification reviewed; policy generated.</t>
  </si>
  <si>
    <t xml:space="preserve">AGENT-016</t>
  </si>
  <si>
    <t xml:space="preserve">Testing</t>
  </si>
  <si>
    <t xml:space="preserve">Test + synthetic-data generation skill</t>
  </si>
  <si>
    <t xml:space="preserve">Generate unit tests and edge-case data.</t>
  </si>
  <si>
    <t xml:space="preserve">Generated tests run; data covers edge cases.</t>
  </si>
  <si>
    <t xml:space="preserve">AGENT-017</t>
  </si>
  <si>
    <t xml:space="preserve">Docs</t>
  </si>
  <si>
    <t xml:space="preserve">Documentation/data-dictionary skill</t>
  </si>
  <si>
    <t xml:space="preserve">Generate data dictionary, lineage notes, runbooks.</t>
  </si>
  <si>
    <t xml:space="preserve">Docs generated from metadata + catalog.</t>
  </si>
  <si>
    <t xml:space="preserve">AGENT-020</t>
  </si>
  <si>
    <t xml:space="preserve">Run-time Skills</t>
  </si>
  <si>
    <t xml:space="preserve">Triage</t>
  </si>
  <si>
    <t xml:space="preserve">Failure triage / RCA skill</t>
  </si>
  <si>
    <t xml:space="preserve">Read DLT event log + ABC exceptions; diagnose failures.</t>
  </si>
  <si>
    <t xml:space="preserve">Agent proposes correct root cause on test cases.</t>
  </si>
  <si>
    <t xml:space="preserve">AGENT-021</t>
  </si>
  <si>
    <t xml:space="preserve">Self-heal</t>
  </si>
  <si>
    <t xml:space="preserve">Self-healing / auto-rerun</t>
  </si>
  <si>
    <t xml:space="preserve">Retry, reprocess micro-batches, quarantine-and-replay.</t>
  </si>
  <si>
    <t xml:space="preserve">Recovers from transient failures within guardrails.</t>
  </si>
  <si>
    <t xml:space="preserve">AGENT-022</t>
  </si>
  <si>
    <t xml:space="preserve">Anomaly</t>
  </si>
  <si>
    <t xml:space="preserve">Anomaly &amp; schema-drift detection</t>
  </si>
  <si>
    <t xml:space="preserve">Watch ABC audit + system tables for anomalies/drift.</t>
  </si>
  <si>
    <t xml:space="preserve">Alerts raised on volume/latency/drift anomalies.</t>
  </si>
  <si>
    <t xml:space="preserve">AGENT-030</t>
  </si>
  <si>
    <t xml:space="preserve">Interaction</t>
  </si>
  <si>
    <t xml:space="preserve">NL authoring</t>
  </si>
  <si>
    <t xml:space="preserve">NL pipeline authoring (Genie Code)</t>
  </si>
  <si>
    <t xml:space="preserve">Natural-language to config draft via Genie Code.</t>
  </si>
  <si>
    <t xml:space="preserve">NL request yields valid config draft.</t>
  </si>
  <si>
    <t xml:space="preserve">AGENT-031</t>
  </si>
  <si>
    <t xml:space="preserve">Ops Q&amp;A</t>
  </si>
  <si>
    <t xml:space="preserve">Ops Q&amp;A Genie space over ABC</t>
  </si>
  <si>
    <t xml:space="preserve">Genie space answering operational questions over ABC + system tables.</t>
  </si>
  <si>
    <t xml:space="preserve">Common ops questions answered correctly.</t>
  </si>
  <si>
    <t xml:space="preserve">AGENT-032</t>
  </si>
  <si>
    <t xml:space="preserve">Impact</t>
  </si>
  <si>
    <t xml:space="preserve">Impact / lineage analysis skill</t>
  </si>
  <si>
    <t xml:space="preserve">Answer downstream-impact questions using UC lineage.</t>
  </si>
  <si>
    <t xml:space="preserve">Impact answers match lineage graph.</t>
  </si>
  <si>
    <t xml:space="preserve">AGENT-040</t>
  </si>
  <si>
    <t xml:space="preserve">Migration</t>
  </si>
  <si>
    <t xml:space="preserve">Legacy ETL</t>
  </si>
  <si>
    <t xml:space="preserve">Legacy ETL to framework migration agent</t>
  </si>
  <si>
    <t xml:space="preserve">Translate legacy notebooks/ETL into config + Spark/SQL.</t>
  </si>
  <si>
    <t xml:space="preserve">Migrated unit produces equivalent output.</t>
  </si>
  <si>
    <t xml:space="preserve">XL</t>
  </si>
  <si>
    <t xml:space="preserve">AGENT-050</t>
  </si>
  <si>
    <t xml:space="preserve">RAG</t>
  </si>
  <si>
    <t xml:space="preserve">Knowledge</t>
  </si>
  <si>
    <t xml:space="preserve">Vector Search + RAG over policy docs</t>
  </si>
  <si>
    <t xml:space="preserve">Index policy/coverage docs; RAG Q&amp;A (single endpoint on FE).</t>
  </si>
  <si>
    <t xml:space="preserve">RAG answers grounded in indexed docs.</t>
  </si>
  <si>
    <t xml:space="preserve">FINOPS-001</t>
  </si>
  <si>
    <t xml:space="preserve">FinOps &amp; Cost Management</t>
  </si>
  <si>
    <t xml:space="preserve">Methodology</t>
  </si>
  <si>
    <t xml:space="preserve">Spec: FinOps cost + estimation model (.md)</t>
  </si>
  <si>
    <t xml:space="preserve">Consumption metrics, unit-cost method, estimation approach.</t>
  </si>
  <si>
    <t xml:space="preserve">Spec approved; methodology agreed.</t>
  </si>
  <si>
    <t xml:space="preserve">FinOps/Analyst</t>
  </si>
  <si>
    <t xml:space="preserve">FINOPS-002</t>
  </si>
  <si>
    <t xml:space="preserve">Consumption</t>
  </si>
  <si>
    <t xml:space="preserve">Capture</t>
  </si>
  <si>
    <t xml:space="preserve">Consumption capture via ABC Cost-Tracking</t>
  </si>
  <si>
    <t xml:space="preserve">Aggregate DBU/time/Genie-session metrics from ABC.</t>
  </si>
  <si>
    <t xml:space="preserve">Consumption available per run/component.</t>
  </si>
  <si>
    <t xml:space="preserve">FINOPS-003</t>
  </si>
  <si>
    <t xml:space="preserve">Billing tables</t>
  </si>
  <si>
    <t xml:space="preserve">system.billing.usage ingestion (paid)</t>
  </si>
  <si>
    <t xml:space="preserve">Pull genie-tagged + SKU usage into a cost mart.</t>
  </si>
  <si>
    <t xml:space="preserve">Cost mart reflects billable usage by tag/SKU.</t>
  </si>
  <si>
    <t xml:space="preserve">FINOPS-010</t>
  </si>
  <si>
    <t xml:space="preserve">Unit Cost</t>
  </si>
  <si>
    <t xml:space="preserve">Computation</t>
  </si>
  <si>
    <t xml:space="preserve">Unit-cost computation</t>
  </si>
  <si>
    <t xml:space="preserve">Cost per feed / transform / Genie generation / run.</t>
  </si>
  <si>
    <t xml:space="preserve">Unit costs computed from consumption + list price.</t>
  </si>
  <si>
    <t xml:space="preserve">FINOPS-020</t>
  </si>
  <si>
    <t xml:space="preserve">Dashboard</t>
  </si>
  <si>
    <t xml:space="preserve">FinOps dashboard</t>
  </si>
  <si>
    <t xml:space="preserve">FinOps dashboard (AI/BI)</t>
  </si>
  <si>
    <t xml:space="preserve">Genie vs warehouse DBUs, cost by component/feed/run, trend, unit cost.</t>
  </si>
  <si>
    <t xml:space="preserve">Dashboard live; cost views match cost mart.</t>
  </si>
  <si>
    <t xml:space="preserve">FINOPS-030</t>
  </si>
  <si>
    <t xml:space="preserve">Estimation</t>
  </si>
  <si>
    <t xml:space="preserve">Customer model</t>
  </si>
  <si>
    <t xml:space="preserve">Customer probable-cost estimation model (xlsx)</t>
  </si>
  <si>
    <t xml:space="preserve">Drivers x list price x scenario bands (low/expected/high).</t>
  </si>
  <si>
    <t xml:space="preserve">Model outputs probable cost with bands; no formula errors.</t>
  </si>
  <si>
    <t xml:space="preserve">FINOPS-031</t>
  </si>
  <si>
    <t xml:space="preserve">Pricing</t>
  </si>
  <si>
    <t xml:space="preserve">Pricing assumptions sheet</t>
  </si>
  <si>
    <t xml:space="preserve">Post-July-2026 Genie pricing + SQL/pipeline DBU rates + region.</t>
  </si>
  <si>
    <t xml:space="preserve">Assumptions documented and adjustable.</t>
  </si>
  <si>
    <t xml:space="preserve">FINOPS-040</t>
  </si>
  <si>
    <t xml:space="preserve">Scorecard</t>
  </si>
  <si>
    <t xml:space="preserve">Benchmark cost scorecard</t>
  </si>
  <si>
    <t xml:space="preserve">Link PoC consumption to projected customer cost.</t>
  </si>
  <si>
    <t xml:space="preserve">Scorecard maps PoC unit costs to customer estimate.</t>
  </si>
  <si>
    <t xml:space="preserve">OBS-001</t>
  </si>
  <si>
    <t xml:space="preserve">Observability</t>
  </si>
  <si>
    <t xml:space="preserve">Spec: observability (.md)</t>
  </si>
  <si>
    <t xml:space="preserve">Logging, tracing, metrics model across frameworks.</t>
  </si>
  <si>
    <t xml:space="preserve">Spec approved; metrics defined.</t>
  </si>
  <si>
    <t xml:space="preserve">OBS-010</t>
  </si>
  <si>
    <t xml:space="preserve">Logging</t>
  </si>
  <si>
    <t xml:space="preserve">Tracing</t>
  </si>
  <si>
    <t xml:space="preserve">Centralized logging + trace IDs</t>
  </si>
  <si>
    <t xml:space="preserve">Correlated logs across frameworks to ABC + event log.</t>
  </si>
  <si>
    <t xml:space="preserve">Traces span ingestion to gold for a run.</t>
  </si>
  <si>
    <t xml:space="preserve">OBS-011</t>
  </si>
  <si>
    <t xml:space="preserve">Metrics</t>
  </si>
  <si>
    <t xml:space="preserve">Performance</t>
  </si>
  <si>
    <t xml:space="preserve">Performance metrics capture</t>
  </si>
  <si>
    <t xml:space="preserve">Run duration, throughput, latency metrics.</t>
  </si>
  <si>
    <t xml:space="preserve">Metrics captured per run; queryable.</t>
  </si>
  <si>
    <t xml:space="preserve">OBS-020</t>
  </si>
  <si>
    <t xml:space="preserve">Operational monitoring dashboard</t>
  </si>
  <si>
    <t xml:space="preserve">Pipeline health, freshness, SLA tracking.</t>
  </si>
  <si>
    <t xml:space="preserve">Dashboard shows health and freshness.</t>
  </si>
  <si>
    <t xml:space="preserve">DEVOPS-001</t>
  </si>
  <si>
    <t xml:space="preserve">CI/CD &amp; DevOps</t>
  </si>
  <si>
    <t xml:space="preserve">Spec: CI/CD + deployment (.md)</t>
  </si>
  <si>
    <t xml:space="preserve">Asset Bundles, environments, promotion strategy.</t>
  </si>
  <si>
    <t xml:space="preserve">Spec approved.</t>
  </si>
  <si>
    <t xml:space="preserve">DEVOPS-010</t>
  </si>
  <si>
    <t xml:space="preserve">IaC</t>
  </si>
  <si>
    <t xml:space="preserve">Bundles</t>
  </si>
  <si>
    <t xml:space="preserve">Databricks Asset Bundles for all assets</t>
  </si>
  <si>
    <t xml:space="preserve">Bundle config, pipelines, jobs as IaC.</t>
  </si>
  <si>
    <t xml:space="preserve">Bundle deploys the framework to a workspace.</t>
  </si>
  <si>
    <t xml:space="preserve">DEVOPS-011</t>
  </si>
  <si>
    <t xml:space="preserve">Promotion</t>
  </si>
  <si>
    <t xml:space="preserve">Environment promotion + secrets mgmt</t>
  </si>
  <si>
    <t xml:space="preserve">dev/test/prod promotion and secret/connection handling.</t>
  </si>
  <si>
    <t xml:space="preserve">Promotion works across envs; secrets secured.</t>
  </si>
  <si>
    <t xml:space="preserve">Hardening (Paid)</t>
  </si>
  <si>
    <t xml:space="preserve">DEVOPS-012</t>
  </si>
  <si>
    <t xml:space="preserve">Pipelines</t>
  </si>
  <si>
    <t xml:space="preserve">CI</t>
  </si>
  <si>
    <t xml:space="preserve">CI: lint + unit tests (no wheel)</t>
  </si>
  <si>
    <t xml:space="preserve">Continuous integration for the framework source.</t>
  </si>
  <si>
    <t xml:space="preserve">CI green on PRs; source validated.</t>
  </si>
  <si>
    <t xml:space="preserve">DEVOPS-013</t>
  </si>
  <si>
    <t xml:space="preserve">CD</t>
  </si>
  <si>
    <t xml:space="preserve">CD: deploy bundles + smoke tests</t>
  </si>
  <si>
    <t xml:space="preserve">Continuous deployment with post-deploy smoke tests.</t>
  </si>
  <si>
    <t xml:space="preserve">Deploys validated by smoke tests.</t>
  </si>
  <si>
    <t xml:space="preserve">BENCH-001</t>
  </si>
  <si>
    <t xml:space="preserve">PoC Benchmark Harness</t>
  </si>
  <si>
    <t xml:space="preserve">Plan</t>
  </si>
  <si>
    <t xml:space="preserve">Spec: benchmark plan + success metrics</t>
  </si>
  <si>
    <t xml:space="preserve">Define metrics: spec-&gt;Genie-Code fidelity and functional correctness.</t>
  </si>
  <si>
    <t xml:space="preserve">Benchmark plan approved; metrics measurable.</t>
  </si>
  <si>
    <t xml:space="preserve">BENCH-002</t>
  </si>
  <si>
    <t xml:space="preserve">Setup</t>
  </si>
  <si>
    <t xml:space="preserve">Free Edition</t>
  </si>
  <si>
    <t xml:space="preserve">Free Edition workspace setup</t>
  </si>
  <si>
    <t xml:space="preserve">UC metastore, SQL warehouse, serverless on Free Edition.</t>
  </si>
  <si>
    <t xml:space="preserve">Workspace ready; Genie Code available.</t>
  </si>
  <si>
    <t xml:space="preserve">BENCH-010</t>
  </si>
  <si>
    <t xml:space="preserve">Slice</t>
  </si>
  <si>
    <t xml:space="preserve">Vertical slice</t>
  </si>
  <si>
    <t xml:space="preserve">Thin vertical slice: ingest to mask</t>
  </si>
  <si>
    <t xml:space="preserve">One feed: ingest -&gt; harmonize -&gt; DQ -&gt; recon -&gt; mask on Free Edition.</t>
  </si>
  <si>
    <t xml:space="preserve">Slice runs end to end on synthetic data.</t>
  </si>
  <si>
    <t xml:space="preserve">ING-001,HARM-001,DQ-001,REC-001,MASK-001,ING-041,BENCH-002</t>
  </si>
  <si>
    <t xml:space="preserve">BENCH-011</t>
  </si>
  <si>
    <t xml:space="preserve">Genie generation</t>
  </si>
  <si>
    <t xml:space="preserve">Generate slice via Genie Code from specs</t>
  </si>
  <si>
    <t xml:space="preserve">Use specs + metadata-population agent; capture generation metrics.</t>
  </si>
  <si>
    <t xml:space="preserve">Slice generated by Genie Code; metrics recorded.</t>
  </si>
  <si>
    <t xml:space="preserve">BENCH-010,AGENT-010</t>
  </si>
  <si>
    <t xml:space="preserve">BENCH-012</t>
  </si>
  <si>
    <t xml:space="preserve">Validation</t>
  </si>
  <si>
    <t xml:space="preserve">Correctness</t>
  </si>
  <si>
    <t xml:space="preserve">Functional-correctness validation</t>
  </si>
  <si>
    <t xml:space="preserve">Compare generated outputs against golden results.</t>
  </si>
  <si>
    <t xml:space="preserve">Outputs match golden set; deltas explained.</t>
  </si>
  <si>
    <t xml:space="preserve">BENCH-020</t>
  </si>
  <si>
    <t xml:space="preserve">Results</t>
  </si>
  <si>
    <t xml:space="preserve">Benchmark scorecard</t>
  </si>
  <si>
    <t xml:space="preserve">Fidelity, effort saved, correctness, consumption summary.</t>
  </si>
  <si>
    <t xml:space="preserve">Scorecard produced; informs paid build + estimate.</t>
  </si>
  <si>
    <t xml:space="preserve">BENCH-011,BENCH-012,FINOPS-010</t>
  </si>
  <si>
    <t xml:space="preserve">ENABLE-001</t>
  </si>
  <si>
    <t xml:space="preserve">Specs &amp; Documentation</t>
  </si>
  <si>
    <t xml:space="preserve">Specs</t>
  </si>
  <si>
    <t xml:space="preserve">Template</t>
  </si>
  <si>
    <t xml:space="preserve">Genie-Code-ready spec template + index</t>
  </si>
  <si>
    <t xml:space="preserve">Standard .md template and index for all component specs.</t>
  </si>
  <si>
    <t xml:space="preserve">Template adopted; specs indexed.</t>
  </si>
  <si>
    <t xml:space="preserve">Tech Writer</t>
  </si>
  <si>
    <t xml:space="preserve">ENABLE-010</t>
  </si>
  <si>
    <t xml:space="preserve">Runbooks</t>
  </si>
  <si>
    <t xml:space="preserve">Framework documentation + runbooks</t>
  </si>
  <si>
    <t xml:space="preserve">User and operations documentation for the frameworks.</t>
  </si>
  <si>
    <t xml:space="preserve">Docs cover setup, config, run, troubleshoot.</t>
  </si>
  <si>
    <t xml:space="preserve">Enablement</t>
  </si>
  <si>
    <t xml:space="preserve">ENABLE-011</t>
  </si>
  <si>
    <t xml:space="preserve">Demo</t>
  </si>
  <si>
    <t xml:space="preserve">PoC demo script + walkthrough</t>
  </si>
  <si>
    <t xml:space="preserve">Narrative and steps to demo the PoC slice.</t>
  </si>
  <si>
    <t xml:space="preserve">Demo script runs cleanly end to end.</t>
  </si>
  <si>
    <t xml:space="preserve">Legend &amp; Conventions</t>
  </si>
  <si>
    <t xml:space="preserve">Columns</t>
  </si>
  <si>
    <t xml:space="preserve">Meaning</t>
  </si>
  <si>
    <t xml:space="preserve">Unique ID, prefixed by component (FND, ING, HARM, DQ, REC, MASK, AGENT, FINOPS, OBS, DEVOPS, BENCH, ENABLE).</t>
  </si>
  <si>
    <t xml:space="preserve">Top-level workstream / framework.</t>
  </si>
  <si>
    <t xml:space="preserve">Feature group within the epic.</t>
  </si>
  <si>
    <t xml:space="preserve">Story-level grouping of tasks.</t>
  </si>
  <si>
    <t xml:space="preserve">Low-level, actionable unit of work (~0.5-2 days).</t>
  </si>
  <si>
    <t xml:space="preserve">What the task delivers.</t>
  </si>
  <si>
    <t xml:space="preserve">Definition of Done for the task.</t>
  </si>
  <si>
    <t xml:space="preserve">T-shirt estimate (see sizing key).</t>
  </si>
  <si>
    <t xml:space="preserve">MoSCoW priority.</t>
  </si>
  <si>
    <t xml:space="preserve">Predecessor Task IDs (comma-separated).</t>
  </si>
  <si>
    <t xml:space="preserve">Suggested role; names left blank to assign.</t>
  </si>
  <si>
    <t xml:space="preserve">Delivery stage / where it runs (see phases).</t>
  </si>
  <si>
    <t xml:space="preserve">Workflow status (default Not Started).</t>
  </si>
  <si>
    <t xml:space="preserve">Size (T-shirt)</t>
  </si>
  <si>
    <t xml:space="preserve">Guide</t>
  </si>
  <si>
    <t xml:space="preserve">Small (~0.5-1 day)</t>
  </si>
  <si>
    <t xml:space="preserve">Medium (~1-3 days)</t>
  </si>
  <si>
    <t xml:space="preserve">Large (~3-5 days)</t>
  </si>
  <si>
    <t xml:space="preserve">Extra-large (~1-2 weeks; consider splitting)</t>
  </si>
  <si>
    <t xml:space="preserve">Priority (MoSCoW)</t>
  </si>
  <si>
    <t xml:space="preserve">Required for a working framework / PoC</t>
  </si>
  <si>
    <t xml:space="preserve">Important, not vital for first cut</t>
  </si>
  <si>
    <t xml:space="preserve">Desirable if time permits</t>
  </si>
  <si>
    <t xml:space="preserve">Won't</t>
  </si>
  <si>
    <t xml:space="preserve">Out of scope for now</t>
  </si>
  <si>
    <t xml:space="preserve">Shared groundwork incl. portable .md specs (authored in Cowork; edition-neutral).</t>
  </si>
  <si>
    <t xml:space="preserve">Runs on Databricks Free Edition to benchmark spec-&gt;Genie-Code fidelity + functional correctness.</t>
  </si>
  <si>
    <t xml:space="preserve">Full framework build on the paid workspace from the same specs.</t>
  </si>
  <si>
    <t xml:space="preserve">Productionization: promotion, secrets, CD, scale.</t>
  </si>
  <si>
    <t xml:space="preserve">Documentation, demo and runbooks.</t>
  </si>
  <si>
    <t xml:space="preserve">Notes</t>
  </si>
  <si>
    <t xml:space="preserve">Specs (.md) are the portable IP: authored in Claude Cowork, used to benchmark on Free Edition, then reused to build on the paid workspace.</t>
  </si>
  <si>
    <t xml:space="preserve">Free Edition limits: serverless only, one active pipeline per type, 5 concurrent job tasks, one 2X-Small SQL warehouse, limited model serving, restricted outbound internet, daily quotas.</t>
  </si>
  <si>
    <t xml:space="preserve">On Free Edition use synthetic data (no live CDC); heavier agentic/serving tasks are 'Build (Paid)'.</t>
  </si>
  <si>
    <t xml:space="preserve">FinOps: measure consumption on Free Edition, apply paid list prices (post-6-Jul-2026 Genie pricing), scale by volume = probable customer cost.</t>
  </si>
  <si>
    <t xml:space="preserve">Backlog Summary</t>
  </si>
  <si>
    <t xml:space="preserve">Total tasks</t>
  </si>
  <si>
    <t xml:space="preserve">By Epic</t>
  </si>
  <si>
    <t xml:space="preserve">Count</t>
  </si>
  <si>
    <t xml:space="preserve">By Phase</t>
  </si>
  <si>
    <t xml:space="preserve">By Size</t>
  </si>
  <si>
    <t xml:space="preserve">By Priority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</si>
</sst>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152744"/>
      <name val="Arial"/>
      <family val="0"/>
      <charset val="1"/>
    </font>
    <font>
      <sz val="10"/>
      <color rgb="FF232A33"/>
      <name val="Arial"/>
      <family val="0"/>
      <charset val="1"/>
    </font>
    <font>
      <b val="true"/>
      <sz val="14"/>
      <color rgb="FF152744"/>
      <name val="Arial"/>
      <family val="0"/>
      <charset val="1"/>
    </font>
    <font>
      <b val="true"/>
      <sz val="10"/>
      <color rgb="FF232A33"/>
      <name val="Arial"/>
      <family val="0"/>
      <charset val="1"/>
    </font>
    <font>
      <b val="true"/>
      <sz val="11"/>
      <color rgb="FF15274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52744"/>
        <bgColor rgb="FF232A33"/>
      </patternFill>
    </fill>
    <fill>
      <patternFill patternType="solid">
        <fgColor rgb="FFE8EEF7"/>
        <bgColor rgb="FFECEFF1"/>
      </patternFill>
    </fill>
    <fill>
      <patternFill patternType="solid">
        <fgColor rgb="FFE3F0FB"/>
        <bgColor rgb="FFE8EEF7"/>
      </patternFill>
    </fill>
    <fill>
      <patternFill patternType="solid">
        <fgColor rgb="FFE9F5E9"/>
        <bgColor rgb="FFECEFF1"/>
      </patternFill>
    </fill>
    <fill>
      <patternFill patternType="solid">
        <fgColor rgb="FFFFF4E0"/>
        <bgColor rgb="FFF4F1E3"/>
      </patternFill>
    </fill>
    <fill>
      <patternFill patternType="solid">
        <fgColor rgb="FFF0EAF8"/>
        <bgColor rgb="FFEAE6F8"/>
      </patternFill>
    </fill>
    <fill>
      <patternFill patternType="solid">
        <fgColor rgb="FFFDE9E7"/>
        <bgColor rgb="FFFCE8F3"/>
      </patternFill>
    </fill>
    <fill>
      <patternFill patternType="solid">
        <fgColor rgb="FFEAE6F8"/>
        <bgColor rgb="FFF0EAF8"/>
      </patternFill>
    </fill>
    <fill>
      <patternFill patternType="solid">
        <fgColor rgb="FFE0F2F1"/>
        <bgColor rgb="FFE3F0FB"/>
      </patternFill>
    </fill>
    <fill>
      <patternFill patternType="solid">
        <fgColor rgb="FFEEF0F2"/>
        <bgColor rgb="FFECEFF1"/>
      </patternFill>
    </fill>
    <fill>
      <patternFill patternType="solid">
        <fgColor rgb="FFF4F1E3"/>
        <bgColor rgb="FFEEF0F2"/>
      </patternFill>
    </fill>
    <fill>
      <patternFill patternType="solid">
        <fgColor rgb="FFFCE8F3"/>
        <bgColor rgb="FFFDE9E7"/>
      </patternFill>
    </fill>
    <fill>
      <patternFill patternType="solid">
        <fgColor rgb="FFECEFF1"/>
        <bgColor rgb="FFEEF0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0DA"/>
      </left>
      <right style="thin">
        <color rgb="FFC8D0DA"/>
      </right>
      <top style="thin">
        <color rgb="FFC8D0DA"/>
      </top>
      <bottom style="thin">
        <color rgb="FFC8D0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52744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3F0FB"/>
          <bgColor rgb="FF000000"/>
        </patternFill>
      </fill>
    </dxf>
    <dxf>
      <fill>
        <patternFill patternType="solid">
          <fgColor rgb="FFE8EEF7"/>
          <bgColor rgb="FF000000"/>
        </patternFill>
      </fill>
    </dxf>
    <dxf>
      <fill>
        <patternFill patternType="solid">
          <fgColor rgb="FFE9F5E9"/>
          <bgColor rgb="FF000000"/>
        </patternFill>
      </fill>
    </dxf>
    <dxf>
      <fill>
        <patternFill patternType="solid">
          <fgColor rgb="FFEAE6F8"/>
          <bgColor rgb="FF000000"/>
        </patternFill>
      </fill>
    </dxf>
    <dxf>
      <fill>
        <patternFill patternType="solid">
          <fgColor rgb="FFECEFF1"/>
          <bgColor rgb="FF000000"/>
        </patternFill>
      </fill>
    </dxf>
    <dxf>
      <fill>
        <patternFill patternType="solid">
          <fgColor rgb="FFEEF0F2"/>
          <bgColor rgb="FF000000"/>
        </patternFill>
      </fill>
    </dxf>
    <dxf>
      <fill>
        <patternFill patternType="solid">
          <fgColor rgb="FFF0EAF8"/>
          <bgColor rgb="FF000000"/>
        </patternFill>
      </fill>
    </dxf>
    <dxf>
      <fill>
        <patternFill patternType="solid">
          <fgColor rgb="FFF4F1E3"/>
          <bgColor rgb="FF000000"/>
        </patternFill>
      </fill>
    </dxf>
    <dxf>
      <fill>
        <patternFill patternType="solid">
          <fgColor rgb="FFFCE8F3"/>
          <bgColor rgb="FF000000"/>
        </patternFill>
      </fill>
    </dxf>
    <dxf>
      <fill>
        <patternFill patternType="solid">
          <fgColor rgb="FFFDE9E7"/>
          <bgColor rgb="FF000000"/>
        </patternFill>
      </fill>
    </dxf>
    <dxf>
      <fill>
        <patternFill patternType="solid">
          <fgColor rgb="FFFFF4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32A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EF0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E6F8"/>
      <rgbColor rgb="FF808080"/>
      <rgbColor rgb="FFECEFF1"/>
      <rgbColor rgb="FF993366"/>
      <rgbColor rgb="FFFFF4E0"/>
      <rgbColor rgb="FFE0F2F1"/>
      <rgbColor rgb="FF660066"/>
      <rgbColor rgb="FFFF8080"/>
      <rgbColor rgb="FF0066CC"/>
      <rgbColor rgb="FFC8D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0FB"/>
      <rgbColor rgb="FFE9F5E9"/>
      <rgbColor rgb="FFF4F1E3"/>
      <rgbColor rgb="FFE8EEF7"/>
      <rgbColor rgb="FFFCE8F3"/>
      <rgbColor rgb="FFF0EAF8"/>
      <rgbColor rgb="FFFDE9E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52744"/>
      <rgbColor rgb="FF339966"/>
      <rgbColor rgb="FF003300"/>
      <rgbColor rgb="FF333300"/>
      <rgbColor rgb="FF993300"/>
      <rgbColor rgb="FF993366"/>
      <rgbColor rgb="FF333399"/>
      <rgbColor rgb="FF232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4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52"/>
    <col collapsed="false" customWidth="true" hidden="false" outlineLevel="0" max="7" min="7" style="0" width="46"/>
    <col collapsed="false" customWidth="true" hidden="false" outlineLevel="0" max="8" min="8" style="0" width="7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3.85" hidden="false" customHeight="false" outlineLevel="0" collapsed="false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4" t="s">
        <v>20</v>
      </c>
      <c r="I2" s="4" t="s">
        <v>21</v>
      </c>
      <c r="J2" s="3" t="s">
        <v>22</v>
      </c>
      <c r="K2" s="3" t="s">
        <v>23</v>
      </c>
      <c r="L2" s="4" t="s">
        <v>24</v>
      </c>
      <c r="M2" s="4" t="s">
        <v>25</v>
      </c>
    </row>
    <row r="3" customFormat="false" ht="23.85" hidden="false" customHeight="false" outlineLevel="0" collapsed="false">
      <c r="A3" s="2" t="s">
        <v>26</v>
      </c>
      <c r="B3" s="3" t="s">
        <v>14</v>
      </c>
      <c r="C3" s="3" t="s">
        <v>15</v>
      </c>
      <c r="D3" s="3" t="s">
        <v>16</v>
      </c>
      <c r="E3" s="3" t="s">
        <v>27</v>
      </c>
      <c r="F3" s="3" t="s">
        <v>28</v>
      </c>
      <c r="G3" s="3" t="s">
        <v>29</v>
      </c>
      <c r="H3" s="4" t="s">
        <v>20</v>
      </c>
      <c r="I3" s="4" t="s">
        <v>21</v>
      </c>
      <c r="J3" s="3" t="s">
        <v>13</v>
      </c>
      <c r="K3" s="3" t="s">
        <v>30</v>
      </c>
      <c r="L3" s="4" t="s">
        <v>24</v>
      </c>
      <c r="M3" s="4" t="s">
        <v>25</v>
      </c>
    </row>
    <row r="4" customFormat="false" ht="23.85" hidden="false" customHeight="false" outlineLevel="0" collapsed="false">
      <c r="A4" s="2" t="s">
        <v>31</v>
      </c>
      <c r="B4" s="3" t="s">
        <v>14</v>
      </c>
      <c r="C4" s="3" t="s">
        <v>15</v>
      </c>
      <c r="D4" s="3" t="s">
        <v>32</v>
      </c>
      <c r="E4" s="3" t="s">
        <v>33</v>
      </c>
      <c r="F4" s="3" t="s">
        <v>34</v>
      </c>
      <c r="G4" s="3" t="s">
        <v>35</v>
      </c>
      <c r="H4" s="4" t="s">
        <v>20</v>
      </c>
      <c r="I4" s="4" t="s">
        <v>21</v>
      </c>
      <c r="J4" s="3" t="s">
        <v>26</v>
      </c>
      <c r="K4" s="3" t="s">
        <v>30</v>
      </c>
      <c r="L4" s="4" t="s">
        <v>24</v>
      </c>
      <c r="M4" s="4" t="s">
        <v>25</v>
      </c>
    </row>
    <row r="5" customFormat="false" ht="23.85" hidden="false" customHeight="false" outlineLevel="0" collapsed="false">
      <c r="A5" s="2" t="s">
        <v>36</v>
      </c>
      <c r="B5" s="3" t="s">
        <v>14</v>
      </c>
      <c r="C5" s="3" t="s">
        <v>15</v>
      </c>
      <c r="D5" s="3" t="s">
        <v>32</v>
      </c>
      <c r="E5" s="3" t="s">
        <v>37</v>
      </c>
      <c r="F5" s="3" t="s">
        <v>38</v>
      </c>
      <c r="G5" s="3" t="s">
        <v>39</v>
      </c>
      <c r="H5" s="4" t="s">
        <v>40</v>
      </c>
      <c r="I5" s="4" t="s">
        <v>41</v>
      </c>
      <c r="J5" s="3" t="s">
        <v>31</v>
      </c>
      <c r="K5" s="3" t="s">
        <v>30</v>
      </c>
      <c r="L5" s="4" t="s">
        <v>24</v>
      </c>
      <c r="M5" s="4" t="s">
        <v>25</v>
      </c>
    </row>
    <row r="6" customFormat="false" ht="23.85" hidden="false" customHeight="false" outlineLevel="0" collapsed="false">
      <c r="A6" s="2" t="s">
        <v>42</v>
      </c>
      <c r="B6" s="3" t="s">
        <v>14</v>
      </c>
      <c r="C6" s="3" t="s">
        <v>15</v>
      </c>
      <c r="D6" s="3" t="s">
        <v>43</v>
      </c>
      <c r="E6" s="3" t="s">
        <v>44</v>
      </c>
      <c r="F6" s="3" t="s">
        <v>45</v>
      </c>
      <c r="G6" s="3" t="s">
        <v>46</v>
      </c>
      <c r="H6" s="4" t="s">
        <v>20</v>
      </c>
      <c r="I6" s="4" t="s">
        <v>41</v>
      </c>
      <c r="J6" s="3" t="s">
        <v>26</v>
      </c>
      <c r="K6" s="3" t="s">
        <v>30</v>
      </c>
      <c r="L6" s="4" t="s">
        <v>24</v>
      </c>
      <c r="M6" s="4" t="s">
        <v>25</v>
      </c>
    </row>
    <row r="7" customFormat="false" ht="35.05" hidden="false" customHeight="false" outlineLevel="0" collapsed="false">
      <c r="A7" s="2" t="s">
        <v>47</v>
      </c>
      <c r="B7" s="3" t="s">
        <v>14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4" t="s">
        <v>40</v>
      </c>
      <c r="I7" s="4" t="s">
        <v>21</v>
      </c>
      <c r="J7" s="3" t="s">
        <v>13</v>
      </c>
      <c r="K7" s="3" t="s">
        <v>23</v>
      </c>
      <c r="L7" s="4" t="s">
        <v>24</v>
      </c>
      <c r="M7" s="4" t="s">
        <v>25</v>
      </c>
    </row>
    <row r="8" customFormat="false" ht="23.85" hidden="false" customHeight="false" outlineLevel="0" collapsed="false">
      <c r="A8" s="2" t="s">
        <v>53</v>
      </c>
      <c r="B8" s="3" t="s">
        <v>14</v>
      </c>
      <c r="C8" s="3" t="s">
        <v>48</v>
      </c>
      <c r="D8" s="3" t="s">
        <v>49</v>
      </c>
      <c r="E8" s="3" t="s">
        <v>54</v>
      </c>
      <c r="F8" s="3" t="s">
        <v>55</v>
      </c>
      <c r="G8" s="3" t="s">
        <v>56</v>
      </c>
      <c r="H8" s="4" t="s">
        <v>57</v>
      </c>
      <c r="I8" s="4" t="s">
        <v>21</v>
      </c>
      <c r="J8" s="3" t="s">
        <v>47</v>
      </c>
      <c r="K8" s="3" t="s">
        <v>30</v>
      </c>
      <c r="L8" s="4" t="s">
        <v>24</v>
      </c>
      <c r="M8" s="4" t="s">
        <v>25</v>
      </c>
    </row>
    <row r="9" customFormat="false" ht="23.85" hidden="false" customHeight="false" outlineLevel="0" collapsed="false">
      <c r="A9" s="2" t="s">
        <v>58</v>
      </c>
      <c r="B9" s="3" t="s">
        <v>14</v>
      </c>
      <c r="C9" s="3" t="s">
        <v>48</v>
      </c>
      <c r="D9" s="3" t="s">
        <v>59</v>
      </c>
      <c r="E9" s="3" t="s">
        <v>60</v>
      </c>
      <c r="F9" s="3" t="s">
        <v>61</v>
      </c>
      <c r="G9" s="3" t="s">
        <v>62</v>
      </c>
      <c r="H9" s="4" t="s">
        <v>57</v>
      </c>
      <c r="I9" s="4" t="s">
        <v>21</v>
      </c>
      <c r="J9" s="3" t="s">
        <v>53</v>
      </c>
      <c r="K9" s="3" t="s">
        <v>30</v>
      </c>
      <c r="L9" s="4" t="s">
        <v>63</v>
      </c>
      <c r="M9" s="4" t="s">
        <v>25</v>
      </c>
    </row>
    <row r="10" customFormat="false" ht="23.85" hidden="false" customHeight="false" outlineLevel="0" collapsed="false">
      <c r="A10" s="2" t="s">
        <v>64</v>
      </c>
      <c r="B10" s="3" t="s">
        <v>14</v>
      </c>
      <c r="C10" s="3" t="s">
        <v>48</v>
      </c>
      <c r="D10" s="3" t="s">
        <v>65</v>
      </c>
      <c r="E10" s="3" t="s">
        <v>66</v>
      </c>
      <c r="F10" s="3" t="s">
        <v>67</v>
      </c>
      <c r="G10" s="3" t="s">
        <v>68</v>
      </c>
      <c r="H10" s="4" t="s">
        <v>20</v>
      </c>
      <c r="I10" s="4" t="s">
        <v>21</v>
      </c>
      <c r="J10" s="3" t="s">
        <v>53</v>
      </c>
      <c r="K10" s="3" t="s">
        <v>69</v>
      </c>
      <c r="L10" s="4" t="s">
        <v>24</v>
      </c>
      <c r="M10" s="4" t="s">
        <v>25</v>
      </c>
    </row>
    <row r="11" customFormat="false" ht="23.85" hidden="false" customHeight="false" outlineLevel="0" collapsed="false">
      <c r="A11" s="2" t="s">
        <v>70</v>
      </c>
      <c r="B11" s="3" t="s">
        <v>14</v>
      </c>
      <c r="C11" s="3" t="s">
        <v>48</v>
      </c>
      <c r="D11" s="3" t="s">
        <v>65</v>
      </c>
      <c r="E11" s="3" t="s">
        <v>71</v>
      </c>
      <c r="F11" s="3" t="s">
        <v>72</v>
      </c>
      <c r="G11" s="3" t="s">
        <v>73</v>
      </c>
      <c r="H11" s="4" t="s">
        <v>40</v>
      </c>
      <c r="I11" s="4" t="s">
        <v>21</v>
      </c>
      <c r="J11" s="3" t="s">
        <v>53</v>
      </c>
      <c r="K11" s="3" t="s">
        <v>30</v>
      </c>
      <c r="L11" s="4" t="s">
        <v>24</v>
      </c>
      <c r="M11" s="4" t="s">
        <v>25</v>
      </c>
    </row>
    <row r="12" customFormat="false" ht="23.85" hidden="false" customHeight="false" outlineLevel="0" collapsed="false">
      <c r="A12" s="2" t="s">
        <v>74</v>
      </c>
      <c r="B12" s="3" t="s">
        <v>14</v>
      </c>
      <c r="C12" s="3" t="s">
        <v>75</v>
      </c>
      <c r="D12" s="3" t="s">
        <v>76</v>
      </c>
      <c r="E12" s="3" t="s">
        <v>77</v>
      </c>
      <c r="F12" s="3" t="s">
        <v>78</v>
      </c>
      <c r="G12" s="3" t="s">
        <v>79</v>
      </c>
      <c r="H12" s="4" t="s">
        <v>20</v>
      </c>
      <c r="I12" s="4" t="s">
        <v>41</v>
      </c>
      <c r="J12" s="3" t="s">
        <v>47</v>
      </c>
      <c r="K12" s="3" t="s">
        <v>80</v>
      </c>
      <c r="L12" s="4" t="s">
        <v>63</v>
      </c>
      <c r="M12" s="4" t="s">
        <v>25</v>
      </c>
    </row>
    <row r="13" customFormat="false" ht="23.85" hidden="false" customHeight="false" outlineLevel="0" collapsed="false">
      <c r="A13" s="2" t="s">
        <v>81</v>
      </c>
      <c r="B13" s="3" t="s">
        <v>14</v>
      </c>
      <c r="C13" s="3" t="s">
        <v>75</v>
      </c>
      <c r="D13" s="3" t="s">
        <v>76</v>
      </c>
      <c r="E13" s="3" t="s">
        <v>82</v>
      </c>
      <c r="F13" s="3" t="s">
        <v>83</v>
      </c>
      <c r="G13" s="3" t="s">
        <v>84</v>
      </c>
      <c r="H13" s="4" t="s">
        <v>20</v>
      </c>
      <c r="I13" s="4" t="s">
        <v>41</v>
      </c>
      <c r="J13" s="3" t="s">
        <v>74</v>
      </c>
      <c r="K13" s="3" t="s">
        <v>80</v>
      </c>
      <c r="L13" s="4" t="s">
        <v>63</v>
      </c>
      <c r="M13" s="4" t="s">
        <v>25</v>
      </c>
    </row>
    <row r="14" customFormat="false" ht="23.85" hidden="false" customHeight="false" outlineLevel="0" collapsed="false">
      <c r="A14" s="2" t="s">
        <v>85</v>
      </c>
      <c r="B14" s="3" t="s">
        <v>14</v>
      </c>
      <c r="C14" s="3" t="s">
        <v>75</v>
      </c>
      <c r="D14" s="3" t="s">
        <v>76</v>
      </c>
      <c r="E14" s="3" t="s">
        <v>86</v>
      </c>
      <c r="F14" s="3" t="s">
        <v>87</v>
      </c>
      <c r="G14" s="3" t="s">
        <v>88</v>
      </c>
      <c r="H14" s="4" t="s">
        <v>20</v>
      </c>
      <c r="I14" s="4" t="s">
        <v>21</v>
      </c>
      <c r="J14" s="3" t="s">
        <v>53</v>
      </c>
      <c r="K14" s="3" t="s">
        <v>30</v>
      </c>
      <c r="L14" s="4" t="s">
        <v>24</v>
      </c>
      <c r="M14" s="4" t="s">
        <v>25</v>
      </c>
    </row>
    <row r="15" customFormat="false" ht="23.85" hidden="false" customHeight="false" outlineLevel="0" collapsed="false">
      <c r="A15" s="2" t="s">
        <v>89</v>
      </c>
      <c r="B15" s="3" t="s">
        <v>14</v>
      </c>
      <c r="C15" s="3" t="s">
        <v>75</v>
      </c>
      <c r="D15" s="3" t="s">
        <v>76</v>
      </c>
      <c r="E15" s="3" t="s">
        <v>90</v>
      </c>
      <c r="F15" s="3" t="s">
        <v>91</v>
      </c>
      <c r="G15" s="3" t="s">
        <v>92</v>
      </c>
      <c r="H15" s="4" t="s">
        <v>40</v>
      </c>
      <c r="I15" s="4" t="s">
        <v>21</v>
      </c>
      <c r="J15" s="3" t="s">
        <v>53</v>
      </c>
      <c r="K15" s="3" t="s">
        <v>30</v>
      </c>
      <c r="L15" s="4" t="s">
        <v>24</v>
      </c>
      <c r="M15" s="4" t="s">
        <v>25</v>
      </c>
    </row>
    <row r="16" customFormat="false" ht="23.85" hidden="false" customHeight="false" outlineLevel="0" collapsed="false">
      <c r="A16" s="2" t="s">
        <v>93</v>
      </c>
      <c r="B16" s="3" t="s">
        <v>14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  <c r="H16" s="4" t="s">
        <v>40</v>
      </c>
      <c r="I16" s="4" t="s">
        <v>21</v>
      </c>
      <c r="J16" s="3" t="s">
        <v>22</v>
      </c>
      <c r="K16" s="3" t="s">
        <v>99</v>
      </c>
      <c r="L16" s="4" t="s">
        <v>24</v>
      </c>
      <c r="M16" s="4" t="s">
        <v>25</v>
      </c>
    </row>
    <row r="17" customFormat="false" ht="23.85" hidden="false" customHeight="false" outlineLevel="0" collapsed="false">
      <c r="A17" s="2" t="s">
        <v>100</v>
      </c>
      <c r="B17" s="3" t="s">
        <v>14</v>
      </c>
      <c r="C17" s="3" t="s">
        <v>94</v>
      </c>
      <c r="D17" s="3" t="s">
        <v>101</v>
      </c>
      <c r="E17" s="3" t="s">
        <v>102</v>
      </c>
      <c r="F17" s="3" t="s">
        <v>103</v>
      </c>
      <c r="G17" s="3" t="s">
        <v>104</v>
      </c>
      <c r="H17" s="4" t="s">
        <v>40</v>
      </c>
      <c r="I17" s="4" t="s">
        <v>21</v>
      </c>
      <c r="J17" s="3" t="s">
        <v>93</v>
      </c>
      <c r="K17" s="3" t="s">
        <v>23</v>
      </c>
      <c r="L17" s="4" t="s">
        <v>24</v>
      </c>
      <c r="M17" s="4" t="s">
        <v>25</v>
      </c>
    </row>
    <row r="18" customFormat="false" ht="23.85" hidden="false" customHeight="false" outlineLevel="0" collapsed="false">
      <c r="A18" s="2" t="s">
        <v>105</v>
      </c>
      <c r="B18" s="3" t="s">
        <v>14</v>
      </c>
      <c r="C18" s="3" t="s">
        <v>94</v>
      </c>
      <c r="D18" s="3" t="s">
        <v>106</v>
      </c>
      <c r="E18" s="3" t="s">
        <v>107</v>
      </c>
      <c r="F18" s="3" t="s">
        <v>108</v>
      </c>
      <c r="G18" s="3" t="s">
        <v>109</v>
      </c>
      <c r="H18" s="4" t="s">
        <v>20</v>
      </c>
      <c r="I18" s="4" t="s">
        <v>21</v>
      </c>
      <c r="J18" s="3" t="s">
        <v>93</v>
      </c>
      <c r="K18" s="3" t="s">
        <v>69</v>
      </c>
      <c r="L18" s="4" t="s">
        <v>24</v>
      </c>
      <c r="M18" s="4" t="s">
        <v>25</v>
      </c>
    </row>
    <row r="19" customFormat="false" ht="23.85" hidden="false" customHeight="false" outlineLevel="0" collapsed="false">
      <c r="A19" s="5" t="s">
        <v>110</v>
      </c>
      <c r="B19" s="6" t="s">
        <v>111</v>
      </c>
      <c r="C19" s="6" t="s">
        <v>112</v>
      </c>
      <c r="D19" s="6" t="s">
        <v>113</v>
      </c>
      <c r="E19" s="6" t="s">
        <v>114</v>
      </c>
      <c r="F19" s="6" t="s">
        <v>115</v>
      </c>
      <c r="G19" s="6" t="s">
        <v>116</v>
      </c>
      <c r="H19" s="7" t="s">
        <v>40</v>
      </c>
      <c r="I19" s="7" t="s">
        <v>21</v>
      </c>
      <c r="J19" s="6" t="s">
        <v>13</v>
      </c>
      <c r="K19" s="6" t="s">
        <v>23</v>
      </c>
      <c r="L19" s="7" t="s">
        <v>24</v>
      </c>
      <c r="M19" s="7" t="s">
        <v>25</v>
      </c>
    </row>
    <row r="20" customFormat="false" ht="23.85" hidden="false" customHeight="false" outlineLevel="0" collapsed="false">
      <c r="A20" s="5" t="s">
        <v>117</v>
      </c>
      <c r="B20" s="6" t="s">
        <v>111</v>
      </c>
      <c r="C20" s="6" t="s">
        <v>112</v>
      </c>
      <c r="D20" s="6" t="s">
        <v>118</v>
      </c>
      <c r="E20" s="6" t="s">
        <v>119</v>
      </c>
      <c r="F20" s="6" t="s">
        <v>120</v>
      </c>
      <c r="G20" s="6" t="s">
        <v>121</v>
      </c>
      <c r="H20" s="7" t="s">
        <v>20</v>
      </c>
      <c r="I20" s="7" t="s">
        <v>21</v>
      </c>
      <c r="J20" s="6" t="s">
        <v>110</v>
      </c>
      <c r="K20" s="6" t="s">
        <v>23</v>
      </c>
      <c r="L20" s="7" t="s">
        <v>63</v>
      </c>
      <c r="M20" s="7" t="s">
        <v>25</v>
      </c>
    </row>
    <row r="21" customFormat="false" ht="15" hidden="false" customHeight="false" outlineLevel="0" collapsed="false">
      <c r="A21" s="5" t="s">
        <v>122</v>
      </c>
      <c r="B21" s="6" t="s">
        <v>111</v>
      </c>
      <c r="C21" s="6" t="s">
        <v>123</v>
      </c>
      <c r="D21" s="6" t="s">
        <v>124</v>
      </c>
      <c r="E21" s="6" t="s">
        <v>125</v>
      </c>
      <c r="F21" s="6" t="s">
        <v>126</v>
      </c>
      <c r="G21" s="6" t="s">
        <v>127</v>
      </c>
      <c r="H21" s="7" t="s">
        <v>20</v>
      </c>
      <c r="I21" s="7" t="s">
        <v>21</v>
      </c>
      <c r="J21" s="6" t="s">
        <v>117</v>
      </c>
      <c r="K21" s="6" t="s">
        <v>30</v>
      </c>
      <c r="L21" s="7" t="s">
        <v>63</v>
      </c>
      <c r="M21" s="7" t="s">
        <v>25</v>
      </c>
    </row>
    <row r="22" customFormat="false" ht="15" hidden="false" customHeight="false" outlineLevel="0" collapsed="false">
      <c r="A22" s="5" t="s">
        <v>128</v>
      </c>
      <c r="B22" s="6" t="s">
        <v>111</v>
      </c>
      <c r="C22" s="6" t="s">
        <v>123</v>
      </c>
      <c r="D22" s="6" t="s">
        <v>129</v>
      </c>
      <c r="E22" s="6" t="s">
        <v>130</v>
      </c>
      <c r="F22" s="6" t="s">
        <v>131</v>
      </c>
      <c r="G22" s="6" t="s">
        <v>132</v>
      </c>
      <c r="H22" s="7" t="s">
        <v>20</v>
      </c>
      <c r="I22" s="7" t="s">
        <v>21</v>
      </c>
      <c r="J22" s="6" t="s">
        <v>122</v>
      </c>
      <c r="K22" s="6" t="s">
        <v>30</v>
      </c>
      <c r="L22" s="7" t="s">
        <v>63</v>
      </c>
      <c r="M22" s="7" t="s">
        <v>25</v>
      </c>
    </row>
    <row r="23" customFormat="false" ht="23.85" hidden="false" customHeight="false" outlineLevel="0" collapsed="false">
      <c r="A23" s="5" t="s">
        <v>133</v>
      </c>
      <c r="B23" s="6" t="s">
        <v>111</v>
      </c>
      <c r="C23" s="6" t="s">
        <v>123</v>
      </c>
      <c r="D23" s="6" t="s">
        <v>134</v>
      </c>
      <c r="E23" s="6" t="s">
        <v>135</v>
      </c>
      <c r="F23" s="6" t="s">
        <v>136</v>
      </c>
      <c r="G23" s="6" t="s">
        <v>137</v>
      </c>
      <c r="H23" s="7" t="s">
        <v>20</v>
      </c>
      <c r="I23" s="7" t="s">
        <v>21</v>
      </c>
      <c r="J23" s="6" t="s">
        <v>117</v>
      </c>
      <c r="K23" s="6" t="s">
        <v>30</v>
      </c>
      <c r="L23" s="7" t="s">
        <v>63</v>
      </c>
      <c r="M23" s="7" t="s">
        <v>25</v>
      </c>
    </row>
    <row r="24" customFormat="false" ht="15" hidden="false" customHeight="false" outlineLevel="0" collapsed="false">
      <c r="A24" s="5" t="s">
        <v>138</v>
      </c>
      <c r="B24" s="6" t="s">
        <v>111</v>
      </c>
      <c r="C24" s="6" t="s">
        <v>139</v>
      </c>
      <c r="D24" s="6" t="s">
        <v>140</v>
      </c>
      <c r="E24" s="6" t="s">
        <v>141</v>
      </c>
      <c r="F24" s="6" t="s">
        <v>142</v>
      </c>
      <c r="G24" s="6" t="s">
        <v>143</v>
      </c>
      <c r="H24" s="7" t="s">
        <v>20</v>
      </c>
      <c r="I24" s="7" t="s">
        <v>21</v>
      </c>
      <c r="J24" s="6" t="s">
        <v>117</v>
      </c>
      <c r="K24" s="6" t="s">
        <v>30</v>
      </c>
      <c r="L24" s="7" t="s">
        <v>63</v>
      </c>
      <c r="M24" s="7" t="s">
        <v>25</v>
      </c>
    </row>
    <row r="25" customFormat="false" ht="15" hidden="false" customHeight="false" outlineLevel="0" collapsed="false">
      <c r="A25" s="5" t="s">
        <v>144</v>
      </c>
      <c r="B25" s="6" t="s">
        <v>111</v>
      </c>
      <c r="C25" s="6" t="s">
        <v>139</v>
      </c>
      <c r="D25" s="6" t="s">
        <v>145</v>
      </c>
      <c r="E25" s="6" t="s">
        <v>146</v>
      </c>
      <c r="F25" s="6" t="s">
        <v>147</v>
      </c>
      <c r="G25" s="6" t="s">
        <v>148</v>
      </c>
      <c r="H25" s="7" t="s">
        <v>20</v>
      </c>
      <c r="I25" s="7" t="s">
        <v>41</v>
      </c>
      <c r="J25" s="6" t="s">
        <v>133</v>
      </c>
      <c r="K25" s="6" t="s">
        <v>30</v>
      </c>
      <c r="L25" s="7" t="s">
        <v>63</v>
      </c>
      <c r="M25" s="7" t="s">
        <v>25</v>
      </c>
    </row>
    <row r="26" customFormat="false" ht="23.85" hidden="false" customHeight="false" outlineLevel="0" collapsed="false">
      <c r="A26" s="5" t="s">
        <v>149</v>
      </c>
      <c r="B26" s="6" t="s">
        <v>111</v>
      </c>
      <c r="C26" s="6" t="s">
        <v>139</v>
      </c>
      <c r="D26" s="6" t="s">
        <v>150</v>
      </c>
      <c r="E26" s="6" t="s">
        <v>151</v>
      </c>
      <c r="F26" s="6" t="s">
        <v>152</v>
      </c>
      <c r="G26" s="6" t="s">
        <v>153</v>
      </c>
      <c r="H26" s="7" t="s">
        <v>20</v>
      </c>
      <c r="I26" s="7" t="s">
        <v>154</v>
      </c>
      <c r="J26" s="6" t="s">
        <v>138</v>
      </c>
      <c r="K26" s="6" t="s">
        <v>30</v>
      </c>
      <c r="L26" s="7" t="s">
        <v>63</v>
      </c>
      <c r="M26" s="7" t="s">
        <v>25</v>
      </c>
    </row>
    <row r="27" customFormat="false" ht="15" hidden="false" customHeight="false" outlineLevel="0" collapsed="false">
      <c r="A27" s="5" t="s">
        <v>155</v>
      </c>
      <c r="B27" s="6" t="s">
        <v>111</v>
      </c>
      <c r="C27" s="6" t="s">
        <v>156</v>
      </c>
      <c r="D27" s="6" t="s">
        <v>157</v>
      </c>
      <c r="E27" s="6" t="s">
        <v>158</v>
      </c>
      <c r="F27" s="6" t="s">
        <v>159</v>
      </c>
      <c r="G27" s="6" t="s">
        <v>160</v>
      </c>
      <c r="H27" s="7" t="s">
        <v>40</v>
      </c>
      <c r="I27" s="7" t="s">
        <v>21</v>
      </c>
      <c r="J27" s="6" t="s">
        <v>122</v>
      </c>
      <c r="K27" s="6" t="s">
        <v>30</v>
      </c>
      <c r="L27" s="7" t="s">
        <v>63</v>
      </c>
      <c r="M27" s="7" t="s">
        <v>25</v>
      </c>
    </row>
    <row r="28" customFormat="false" ht="23.85" hidden="false" customHeight="false" outlineLevel="0" collapsed="false">
      <c r="A28" s="5" t="s">
        <v>161</v>
      </c>
      <c r="B28" s="6" t="s">
        <v>111</v>
      </c>
      <c r="C28" s="6" t="s">
        <v>156</v>
      </c>
      <c r="D28" s="6" t="s">
        <v>162</v>
      </c>
      <c r="E28" s="6" t="s">
        <v>163</v>
      </c>
      <c r="F28" s="6" t="s">
        <v>164</v>
      </c>
      <c r="G28" s="6" t="s">
        <v>165</v>
      </c>
      <c r="H28" s="7" t="s">
        <v>57</v>
      </c>
      <c r="I28" s="7" t="s">
        <v>21</v>
      </c>
      <c r="J28" s="6" t="s">
        <v>155</v>
      </c>
      <c r="K28" s="6" t="s">
        <v>30</v>
      </c>
      <c r="L28" s="7" t="s">
        <v>63</v>
      </c>
      <c r="M28" s="7" t="s">
        <v>25</v>
      </c>
    </row>
    <row r="29" customFormat="false" ht="23.85" hidden="false" customHeight="false" outlineLevel="0" collapsed="false">
      <c r="A29" s="5" t="s">
        <v>166</v>
      </c>
      <c r="B29" s="6" t="s">
        <v>111</v>
      </c>
      <c r="C29" s="6" t="s">
        <v>167</v>
      </c>
      <c r="D29" s="6" t="s">
        <v>168</v>
      </c>
      <c r="E29" s="6" t="s">
        <v>169</v>
      </c>
      <c r="F29" s="6" t="s">
        <v>170</v>
      </c>
      <c r="G29" s="6" t="s">
        <v>171</v>
      </c>
      <c r="H29" s="7" t="s">
        <v>57</v>
      </c>
      <c r="I29" s="7" t="s">
        <v>41</v>
      </c>
      <c r="J29" s="6" t="s">
        <v>117</v>
      </c>
      <c r="K29" s="6" t="s">
        <v>30</v>
      </c>
      <c r="L29" s="7" t="s">
        <v>63</v>
      </c>
      <c r="M29" s="7" t="s">
        <v>25</v>
      </c>
    </row>
    <row r="30" customFormat="false" ht="23.85" hidden="false" customHeight="false" outlineLevel="0" collapsed="false">
      <c r="A30" s="5" t="s">
        <v>172</v>
      </c>
      <c r="B30" s="6" t="s">
        <v>111</v>
      </c>
      <c r="C30" s="6" t="s">
        <v>167</v>
      </c>
      <c r="D30" s="6" t="s">
        <v>173</v>
      </c>
      <c r="E30" s="6" t="s">
        <v>174</v>
      </c>
      <c r="F30" s="6" t="s">
        <v>175</v>
      </c>
      <c r="G30" s="6" t="s">
        <v>176</v>
      </c>
      <c r="H30" s="7" t="s">
        <v>20</v>
      </c>
      <c r="I30" s="7" t="s">
        <v>21</v>
      </c>
      <c r="J30" s="6" t="s">
        <v>36</v>
      </c>
      <c r="K30" s="6" t="s">
        <v>30</v>
      </c>
      <c r="L30" s="7" t="s">
        <v>177</v>
      </c>
      <c r="M30" s="7" t="s">
        <v>25</v>
      </c>
    </row>
    <row r="31" customFormat="false" ht="15" hidden="false" customHeight="false" outlineLevel="0" collapsed="false">
      <c r="A31" s="5" t="s">
        <v>178</v>
      </c>
      <c r="B31" s="6" t="s">
        <v>111</v>
      </c>
      <c r="C31" s="6" t="s">
        <v>179</v>
      </c>
      <c r="D31" s="6" t="s">
        <v>180</v>
      </c>
      <c r="E31" s="6" t="s">
        <v>181</v>
      </c>
      <c r="F31" s="6" t="s">
        <v>182</v>
      </c>
      <c r="G31" s="6" t="s">
        <v>183</v>
      </c>
      <c r="H31" s="7" t="s">
        <v>20</v>
      </c>
      <c r="I31" s="7" t="s">
        <v>41</v>
      </c>
      <c r="J31" s="6" t="s">
        <v>161</v>
      </c>
      <c r="K31" s="6" t="s">
        <v>30</v>
      </c>
      <c r="L31" s="7" t="s">
        <v>63</v>
      </c>
      <c r="M31" s="7" t="s">
        <v>25</v>
      </c>
    </row>
    <row r="32" customFormat="false" ht="15" hidden="false" customHeight="false" outlineLevel="0" collapsed="false">
      <c r="A32" s="5" t="s">
        <v>184</v>
      </c>
      <c r="B32" s="6" t="s">
        <v>111</v>
      </c>
      <c r="C32" s="6" t="s">
        <v>179</v>
      </c>
      <c r="D32" s="6" t="s">
        <v>185</v>
      </c>
      <c r="E32" s="6" t="s">
        <v>186</v>
      </c>
      <c r="F32" s="6" t="s">
        <v>187</v>
      </c>
      <c r="G32" s="6" t="s">
        <v>188</v>
      </c>
      <c r="H32" s="7" t="s">
        <v>20</v>
      </c>
      <c r="I32" s="7" t="s">
        <v>41</v>
      </c>
      <c r="J32" s="6" t="s">
        <v>161</v>
      </c>
      <c r="K32" s="6" t="s">
        <v>30</v>
      </c>
      <c r="L32" s="7" t="s">
        <v>63</v>
      </c>
      <c r="M32" s="7" t="s">
        <v>25</v>
      </c>
    </row>
    <row r="33" customFormat="false" ht="15" hidden="false" customHeight="false" outlineLevel="0" collapsed="false">
      <c r="A33" s="5" t="s">
        <v>189</v>
      </c>
      <c r="B33" s="6" t="s">
        <v>111</v>
      </c>
      <c r="C33" s="6" t="s">
        <v>179</v>
      </c>
      <c r="D33" s="6" t="s">
        <v>190</v>
      </c>
      <c r="E33" s="6" t="s">
        <v>191</v>
      </c>
      <c r="F33" s="6" t="s">
        <v>192</v>
      </c>
      <c r="G33" s="6" t="s">
        <v>193</v>
      </c>
      <c r="H33" s="7" t="s">
        <v>40</v>
      </c>
      <c r="I33" s="7" t="s">
        <v>21</v>
      </c>
      <c r="J33" s="6" t="s">
        <v>53</v>
      </c>
      <c r="K33" s="6" t="s">
        <v>30</v>
      </c>
      <c r="L33" s="7" t="s">
        <v>63</v>
      </c>
      <c r="M33" s="7" t="s">
        <v>25</v>
      </c>
    </row>
    <row r="34" customFormat="false" ht="23.85" hidden="false" customHeight="false" outlineLevel="0" collapsed="false">
      <c r="A34" s="8" t="s">
        <v>194</v>
      </c>
      <c r="B34" s="9" t="s">
        <v>195</v>
      </c>
      <c r="C34" s="9" t="s">
        <v>112</v>
      </c>
      <c r="D34" s="9" t="s">
        <v>113</v>
      </c>
      <c r="E34" s="9" t="s">
        <v>196</v>
      </c>
      <c r="F34" s="9" t="s">
        <v>197</v>
      </c>
      <c r="G34" s="9" t="s">
        <v>198</v>
      </c>
      <c r="H34" s="10" t="s">
        <v>40</v>
      </c>
      <c r="I34" s="10" t="s">
        <v>21</v>
      </c>
      <c r="J34" s="9" t="s">
        <v>13</v>
      </c>
      <c r="K34" s="9" t="s">
        <v>23</v>
      </c>
      <c r="L34" s="10" t="s">
        <v>24</v>
      </c>
      <c r="M34" s="10" t="s">
        <v>25</v>
      </c>
    </row>
    <row r="35" customFormat="false" ht="23.85" hidden="false" customHeight="false" outlineLevel="0" collapsed="false">
      <c r="A35" s="8" t="s">
        <v>199</v>
      </c>
      <c r="B35" s="9" t="s">
        <v>195</v>
      </c>
      <c r="C35" s="9" t="s">
        <v>112</v>
      </c>
      <c r="D35" s="9" t="s">
        <v>200</v>
      </c>
      <c r="E35" s="9" t="s">
        <v>201</v>
      </c>
      <c r="F35" s="9" t="s">
        <v>202</v>
      </c>
      <c r="G35" s="9" t="s">
        <v>203</v>
      </c>
      <c r="H35" s="10" t="s">
        <v>20</v>
      </c>
      <c r="I35" s="10" t="s">
        <v>21</v>
      </c>
      <c r="J35" s="9" t="s">
        <v>194</v>
      </c>
      <c r="K35" s="9" t="s">
        <v>23</v>
      </c>
      <c r="L35" s="10" t="s">
        <v>63</v>
      </c>
      <c r="M35" s="10" t="s">
        <v>25</v>
      </c>
    </row>
    <row r="36" customFormat="false" ht="23.85" hidden="false" customHeight="false" outlineLevel="0" collapsed="false">
      <c r="A36" s="8" t="s">
        <v>204</v>
      </c>
      <c r="B36" s="9" t="s">
        <v>195</v>
      </c>
      <c r="C36" s="9" t="s">
        <v>205</v>
      </c>
      <c r="D36" s="9" t="s">
        <v>206</v>
      </c>
      <c r="E36" s="9" t="s">
        <v>207</v>
      </c>
      <c r="F36" s="9" t="s">
        <v>208</v>
      </c>
      <c r="G36" s="9" t="s">
        <v>209</v>
      </c>
      <c r="H36" s="10" t="s">
        <v>20</v>
      </c>
      <c r="I36" s="10" t="s">
        <v>21</v>
      </c>
      <c r="J36" s="9" t="s">
        <v>199</v>
      </c>
      <c r="K36" s="9" t="s">
        <v>30</v>
      </c>
      <c r="L36" s="10" t="s">
        <v>63</v>
      </c>
      <c r="M36" s="10" t="s">
        <v>25</v>
      </c>
    </row>
    <row r="37" customFormat="false" ht="23.85" hidden="false" customHeight="false" outlineLevel="0" collapsed="false">
      <c r="A37" s="8" t="s">
        <v>210</v>
      </c>
      <c r="B37" s="9" t="s">
        <v>195</v>
      </c>
      <c r="C37" s="9" t="s">
        <v>205</v>
      </c>
      <c r="D37" s="9" t="s">
        <v>211</v>
      </c>
      <c r="E37" s="9" t="s">
        <v>212</v>
      </c>
      <c r="F37" s="9" t="s">
        <v>213</v>
      </c>
      <c r="G37" s="9" t="s">
        <v>214</v>
      </c>
      <c r="H37" s="10" t="s">
        <v>20</v>
      </c>
      <c r="I37" s="10" t="s">
        <v>21</v>
      </c>
      <c r="J37" s="9" t="s">
        <v>204</v>
      </c>
      <c r="K37" s="9" t="s">
        <v>30</v>
      </c>
      <c r="L37" s="10" t="s">
        <v>63</v>
      </c>
      <c r="M37" s="10" t="s">
        <v>25</v>
      </c>
    </row>
    <row r="38" customFormat="false" ht="23.85" hidden="false" customHeight="false" outlineLevel="0" collapsed="false">
      <c r="A38" s="8" t="s">
        <v>215</v>
      </c>
      <c r="B38" s="9" t="s">
        <v>195</v>
      </c>
      <c r="C38" s="9" t="s">
        <v>205</v>
      </c>
      <c r="D38" s="9" t="s">
        <v>216</v>
      </c>
      <c r="E38" s="9" t="s">
        <v>217</v>
      </c>
      <c r="F38" s="9" t="s">
        <v>218</v>
      </c>
      <c r="G38" s="9" t="s">
        <v>219</v>
      </c>
      <c r="H38" s="10" t="s">
        <v>20</v>
      </c>
      <c r="I38" s="10" t="s">
        <v>21</v>
      </c>
      <c r="J38" s="9" t="s">
        <v>204</v>
      </c>
      <c r="K38" s="9" t="s">
        <v>30</v>
      </c>
      <c r="L38" s="10" t="s">
        <v>63</v>
      </c>
      <c r="M38" s="10" t="s">
        <v>25</v>
      </c>
    </row>
    <row r="39" customFormat="false" ht="23.85" hidden="false" customHeight="false" outlineLevel="0" collapsed="false">
      <c r="A39" s="8" t="s">
        <v>220</v>
      </c>
      <c r="B39" s="9" t="s">
        <v>195</v>
      </c>
      <c r="C39" s="9" t="s">
        <v>221</v>
      </c>
      <c r="D39" s="9" t="s">
        <v>222</v>
      </c>
      <c r="E39" s="9" t="s">
        <v>223</v>
      </c>
      <c r="F39" s="9" t="s">
        <v>224</v>
      </c>
      <c r="G39" s="9" t="s">
        <v>225</v>
      </c>
      <c r="H39" s="10" t="s">
        <v>57</v>
      </c>
      <c r="I39" s="10" t="s">
        <v>21</v>
      </c>
      <c r="J39" s="9" t="s">
        <v>199</v>
      </c>
      <c r="K39" s="9" t="s">
        <v>30</v>
      </c>
      <c r="L39" s="10" t="s">
        <v>63</v>
      </c>
      <c r="M39" s="10" t="s">
        <v>25</v>
      </c>
    </row>
    <row r="40" customFormat="false" ht="23.85" hidden="false" customHeight="false" outlineLevel="0" collapsed="false">
      <c r="A40" s="8" t="s">
        <v>226</v>
      </c>
      <c r="B40" s="9" t="s">
        <v>195</v>
      </c>
      <c r="C40" s="9" t="s">
        <v>221</v>
      </c>
      <c r="D40" s="9" t="s">
        <v>227</v>
      </c>
      <c r="E40" s="9" t="s">
        <v>228</v>
      </c>
      <c r="F40" s="9" t="s">
        <v>229</v>
      </c>
      <c r="G40" s="9" t="s">
        <v>230</v>
      </c>
      <c r="H40" s="10" t="s">
        <v>57</v>
      </c>
      <c r="I40" s="10" t="s">
        <v>41</v>
      </c>
      <c r="J40" s="9" t="s">
        <v>220</v>
      </c>
      <c r="K40" s="9" t="s">
        <v>30</v>
      </c>
      <c r="L40" s="10" t="s">
        <v>63</v>
      </c>
      <c r="M40" s="10" t="s">
        <v>25</v>
      </c>
    </row>
    <row r="41" customFormat="false" ht="23.85" hidden="false" customHeight="false" outlineLevel="0" collapsed="false">
      <c r="A41" s="8" t="s">
        <v>231</v>
      </c>
      <c r="B41" s="9" t="s">
        <v>195</v>
      </c>
      <c r="C41" s="9" t="s">
        <v>232</v>
      </c>
      <c r="D41" s="9" t="s">
        <v>134</v>
      </c>
      <c r="E41" s="9" t="s">
        <v>233</v>
      </c>
      <c r="F41" s="9" t="s">
        <v>234</v>
      </c>
      <c r="G41" s="9" t="s">
        <v>235</v>
      </c>
      <c r="H41" s="10" t="s">
        <v>20</v>
      </c>
      <c r="I41" s="10" t="s">
        <v>21</v>
      </c>
      <c r="J41" s="9" t="s">
        <v>199</v>
      </c>
      <c r="K41" s="9" t="s">
        <v>30</v>
      </c>
      <c r="L41" s="10" t="s">
        <v>63</v>
      </c>
      <c r="M41" s="10" t="s">
        <v>25</v>
      </c>
    </row>
    <row r="42" customFormat="false" ht="23.85" hidden="false" customHeight="false" outlineLevel="0" collapsed="false">
      <c r="A42" s="8" t="s">
        <v>236</v>
      </c>
      <c r="B42" s="9" t="s">
        <v>195</v>
      </c>
      <c r="C42" s="9" t="s">
        <v>232</v>
      </c>
      <c r="D42" s="9" t="s">
        <v>237</v>
      </c>
      <c r="E42" s="9" t="s">
        <v>238</v>
      </c>
      <c r="F42" s="9" t="s">
        <v>239</v>
      </c>
      <c r="G42" s="9" t="s">
        <v>240</v>
      </c>
      <c r="H42" s="10" t="s">
        <v>20</v>
      </c>
      <c r="I42" s="10" t="s">
        <v>21</v>
      </c>
      <c r="J42" s="9" t="s">
        <v>199</v>
      </c>
      <c r="K42" s="9" t="s">
        <v>30</v>
      </c>
      <c r="L42" s="10" t="s">
        <v>63</v>
      </c>
      <c r="M42" s="10" t="s">
        <v>25</v>
      </c>
    </row>
    <row r="43" customFormat="false" ht="23.85" hidden="false" customHeight="false" outlineLevel="0" collapsed="false">
      <c r="A43" s="8" t="s">
        <v>241</v>
      </c>
      <c r="B43" s="9" t="s">
        <v>195</v>
      </c>
      <c r="C43" s="9" t="s">
        <v>242</v>
      </c>
      <c r="D43" s="9" t="s">
        <v>243</v>
      </c>
      <c r="E43" s="9" t="s">
        <v>244</v>
      </c>
      <c r="F43" s="9" t="s">
        <v>245</v>
      </c>
      <c r="G43" s="9" t="s">
        <v>246</v>
      </c>
      <c r="H43" s="10" t="s">
        <v>40</v>
      </c>
      <c r="I43" s="10" t="s">
        <v>21</v>
      </c>
      <c r="J43" s="9" t="s">
        <v>236</v>
      </c>
      <c r="K43" s="9" t="s">
        <v>30</v>
      </c>
      <c r="L43" s="10" t="s">
        <v>63</v>
      </c>
      <c r="M43" s="10" t="s">
        <v>25</v>
      </c>
    </row>
    <row r="44" customFormat="false" ht="23.85" hidden="false" customHeight="false" outlineLevel="0" collapsed="false">
      <c r="A44" s="8" t="s">
        <v>247</v>
      </c>
      <c r="B44" s="9" t="s">
        <v>195</v>
      </c>
      <c r="C44" s="9" t="s">
        <v>242</v>
      </c>
      <c r="D44" s="9" t="s">
        <v>248</v>
      </c>
      <c r="E44" s="9" t="s">
        <v>249</v>
      </c>
      <c r="F44" s="9" t="s">
        <v>250</v>
      </c>
      <c r="G44" s="9" t="s">
        <v>251</v>
      </c>
      <c r="H44" s="10" t="s">
        <v>20</v>
      </c>
      <c r="I44" s="10" t="s">
        <v>154</v>
      </c>
      <c r="J44" s="9" t="s">
        <v>231</v>
      </c>
      <c r="K44" s="9" t="s">
        <v>30</v>
      </c>
      <c r="L44" s="10" t="s">
        <v>63</v>
      </c>
      <c r="M44" s="10" t="s">
        <v>25</v>
      </c>
    </row>
    <row r="45" customFormat="false" ht="23.85" hidden="false" customHeight="false" outlineLevel="0" collapsed="false">
      <c r="A45" s="8" t="s">
        <v>252</v>
      </c>
      <c r="B45" s="9" t="s">
        <v>195</v>
      </c>
      <c r="C45" s="9" t="s">
        <v>253</v>
      </c>
      <c r="D45" s="9" t="s">
        <v>254</v>
      </c>
      <c r="E45" s="9" t="s">
        <v>255</v>
      </c>
      <c r="F45" s="9" t="s">
        <v>256</v>
      </c>
      <c r="G45" s="9" t="s">
        <v>257</v>
      </c>
      <c r="H45" s="10" t="s">
        <v>20</v>
      </c>
      <c r="I45" s="10" t="s">
        <v>21</v>
      </c>
      <c r="J45" s="9" t="s">
        <v>220</v>
      </c>
      <c r="K45" s="9" t="s">
        <v>30</v>
      </c>
      <c r="L45" s="10" t="s">
        <v>63</v>
      </c>
      <c r="M45" s="10" t="s">
        <v>25</v>
      </c>
    </row>
    <row r="46" customFormat="false" ht="23.85" hidden="false" customHeight="false" outlineLevel="0" collapsed="false">
      <c r="A46" s="8" t="s">
        <v>258</v>
      </c>
      <c r="B46" s="9" t="s">
        <v>195</v>
      </c>
      <c r="C46" s="9" t="s">
        <v>253</v>
      </c>
      <c r="D46" s="9" t="s">
        <v>162</v>
      </c>
      <c r="E46" s="9" t="s">
        <v>259</v>
      </c>
      <c r="F46" s="9" t="s">
        <v>260</v>
      </c>
      <c r="G46" s="9" t="s">
        <v>261</v>
      </c>
      <c r="H46" s="10" t="s">
        <v>20</v>
      </c>
      <c r="I46" s="10" t="s">
        <v>21</v>
      </c>
      <c r="J46" s="9" t="s">
        <v>252</v>
      </c>
      <c r="K46" s="9" t="s">
        <v>30</v>
      </c>
      <c r="L46" s="10" t="s">
        <v>63</v>
      </c>
      <c r="M46" s="10" t="s">
        <v>25</v>
      </c>
    </row>
    <row r="47" customFormat="false" ht="23.85" hidden="false" customHeight="false" outlineLevel="0" collapsed="false">
      <c r="A47" s="8" t="s">
        <v>262</v>
      </c>
      <c r="B47" s="9" t="s">
        <v>195</v>
      </c>
      <c r="C47" s="9" t="s">
        <v>253</v>
      </c>
      <c r="D47" s="9" t="s">
        <v>157</v>
      </c>
      <c r="E47" s="9" t="s">
        <v>263</v>
      </c>
      <c r="F47" s="9" t="s">
        <v>264</v>
      </c>
      <c r="G47" s="9" t="s">
        <v>265</v>
      </c>
      <c r="H47" s="10" t="s">
        <v>40</v>
      </c>
      <c r="I47" s="10" t="s">
        <v>21</v>
      </c>
      <c r="J47" s="9" t="s">
        <v>220</v>
      </c>
      <c r="K47" s="9" t="s">
        <v>30</v>
      </c>
      <c r="L47" s="10" t="s">
        <v>63</v>
      </c>
      <c r="M47" s="10" t="s">
        <v>25</v>
      </c>
    </row>
    <row r="48" customFormat="false" ht="23.85" hidden="false" customHeight="false" outlineLevel="0" collapsed="false">
      <c r="A48" s="8" t="s">
        <v>266</v>
      </c>
      <c r="B48" s="9" t="s">
        <v>195</v>
      </c>
      <c r="C48" s="9" t="s">
        <v>253</v>
      </c>
      <c r="D48" s="9" t="s">
        <v>267</v>
      </c>
      <c r="E48" s="9" t="s">
        <v>268</v>
      </c>
      <c r="F48" s="9" t="s">
        <v>269</v>
      </c>
      <c r="G48" s="9" t="s">
        <v>270</v>
      </c>
      <c r="H48" s="10" t="s">
        <v>57</v>
      </c>
      <c r="I48" s="10" t="s">
        <v>41</v>
      </c>
      <c r="J48" s="9" t="s">
        <v>226</v>
      </c>
      <c r="K48" s="9" t="s">
        <v>30</v>
      </c>
      <c r="L48" s="10" t="s">
        <v>63</v>
      </c>
      <c r="M48" s="10" t="s">
        <v>25</v>
      </c>
    </row>
    <row r="49" customFormat="false" ht="23.85" hidden="false" customHeight="false" outlineLevel="0" collapsed="false">
      <c r="A49" s="8" t="s">
        <v>271</v>
      </c>
      <c r="B49" s="9" t="s">
        <v>195</v>
      </c>
      <c r="C49" s="9" t="s">
        <v>253</v>
      </c>
      <c r="D49" s="9" t="s">
        <v>190</v>
      </c>
      <c r="E49" s="9" t="s">
        <v>272</v>
      </c>
      <c r="F49" s="9" t="s">
        <v>273</v>
      </c>
      <c r="G49" s="9" t="s">
        <v>274</v>
      </c>
      <c r="H49" s="10" t="s">
        <v>40</v>
      </c>
      <c r="I49" s="10" t="s">
        <v>21</v>
      </c>
      <c r="J49" s="9" t="s">
        <v>53</v>
      </c>
      <c r="K49" s="9" t="s">
        <v>30</v>
      </c>
      <c r="L49" s="10" t="s">
        <v>63</v>
      </c>
      <c r="M49" s="10" t="s">
        <v>25</v>
      </c>
    </row>
    <row r="50" customFormat="false" ht="15" hidden="false" customHeight="false" outlineLevel="0" collapsed="false">
      <c r="A50" s="11" t="s">
        <v>275</v>
      </c>
      <c r="B50" s="12" t="s">
        <v>276</v>
      </c>
      <c r="C50" s="12" t="s">
        <v>277</v>
      </c>
      <c r="D50" s="12" t="s">
        <v>113</v>
      </c>
      <c r="E50" s="12" t="s">
        <v>278</v>
      </c>
      <c r="F50" s="12" t="s">
        <v>279</v>
      </c>
      <c r="G50" s="12" t="s">
        <v>280</v>
      </c>
      <c r="H50" s="13" t="s">
        <v>40</v>
      </c>
      <c r="I50" s="13" t="s">
        <v>21</v>
      </c>
      <c r="J50" s="12" t="s">
        <v>13</v>
      </c>
      <c r="K50" s="12" t="s">
        <v>23</v>
      </c>
      <c r="L50" s="13" t="s">
        <v>24</v>
      </c>
      <c r="M50" s="13" t="s">
        <v>25</v>
      </c>
    </row>
    <row r="51" customFormat="false" ht="15" hidden="false" customHeight="false" outlineLevel="0" collapsed="false">
      <c r="A51" s="11" t="s">
        <v>281</v>
      </c>
      <c r="B51" s="12" t="s">
        <v>276</v>
      </c>
      <c r="C51" s="12" t="s">
        <v>277</v>
      </c>
      <c r="D51" s="12" t="s">
        <v>282</v>
      </c>
      <c r="E51" s="12" t="s">
        <v>283</v>
      </c>
      <c r="F51" s="12" t="s">
        <v>284</v>
      </c>
      <c r="G51" s="12" t="s">
        <v>285</v>
      </c>
      <c r="H51" s="13" t="s">
        <v>20</v>
      </c>
      <c r="I51" s="13" t="s">
        <v>21</v>
      </c>
      <c r="J51" s="12" t="s">
        <v>275</v>
      </c>
      <c r="K51" s="12" t="s">
        <v>30</v>
      </c>
      <c r="L51" s="13" t="s">
        <v>63</v>
      </c>
      <c r="M51" s="13" t="s">
        <v>25</v>
      </c>
    </row>
    <row r="52" customFormat="false" ht="15" hidden="false" customHeight="false" outlineLevel="0" collapsed="false">
      <c r="A52" s="11" t="s">
        <v>286</v>
      </c>
      <c r="B52" s="12" t="s">
        <v>276</v>
      </c>
      <c r="C52" s="12" t="s">
        <v>287</v>
      </c>
      <c r="D52" s="12" t="s">
        <v>134</v>
      </c>
      <c r="E52" s="12" t="s">
        <v>288</v>
      </c>
      <c r="F52" s="12" t="s">
        <v>289</v>
      </c>
      <c r="G52" s="12" t="s">
        <v>290</v>
      </c>
      <c r="H52" s="13" t="s">
        <v>20</v>
      </c>
      <c r="I52" s="13" t="s">
        <v>21</v>
      </c>
      <c r="J52" s="12" t="s">
        <v>281</v>
      </c>
      <c r="K52" s="12" t="s">
        <v>30</v>
      </c>
      <c r="L52" s="13" t="s">
        <v>63</v>
      </c>
      <c r="M52" s="13" t="s">
        <v>25</v>
      </c>
    </row>
    <row r="53" customFormat="false" ht="15" hidden="false" customHeight="false" outlineLevel="0" collapsed="false">
      <c r="A53" s="11" t="s">
        <v>291</v>
      </c>
      <c r="B53" s="12" t="s">
        <v>276</v>
      </c>
      <c r="C53" s="12" t="s">
        <v>287</v>
      </c>
      <c r="D53" s="12" t="s">
        <v>237</v>
      </c>
      <c r="E53" s="12" t="s">
        <v>292</v>
      </c>
      <c r="F53" s="12" t="s">
        <v>293</v>
      </c>
      <c r="G53" s="12" t="s">
        <v>294</v>
      </c>
      <c r="H53" s="13" t="s">
        <v>20</v>
      </c>
      <c r="I53" s="13" t="s">
        <v>21</v>
      </c>
      <c r="J53" s="12" t="s">
        <v>281</v>
      </c>
      <c r="K53" s="12" t="s">
        <v>30</v>
      </c>
      <c r="L53" s="13" t="s">
        <v>63</v>
      </c>
      <c r="M53" s="13" t="s">
        <v>25</v>
      </c>
    </row>
    <row r="54" customFormat="false" ht="15" hidden="false" customHeight="false" outlineLevel="0" collapsed="false">
      <c r="A54" s="11" t="s">
        <v>295</v>
      </c>
      <c r="B54" s="12" t="s">
        <v>276</v>
      </c>
      <c r="C54" s="12" t="s">
        <v>296</v>
      </c>
      <c r="D54" s="12" t="s">
        <v>297</v>
      </c>
      <c r="E54" s="12" t="s">
        <v>298</v>
      </c>
      <c r="F54" s="12" t="s">
        <v>299</v>
      </c>
      <c r="G54" s="12" t="s">
        <v>300</v>
      </c>
      <c r="H54" s="13" t="s">
        <v>20</v>
      </c>
      <c r="I54" s="13" t="s">
        <v>41</v>
      </c>
      <c r="J54" s="12" t="s">
        <v>281</v>
      </c>
      <c r="K54" s="12" t="s">
        <v>30</v>
      </c>
      <c r="L54" s="13" t="s">
        <v>63</v>
      </c>
      <c r="M54" s="13" t="s">
        <v>25</v>
      </c>
    </row>
    <row r="55" customFormat="false" ht="15" hidden="false" customHeight="false" outlineLevel="0" collapsed="false">
      <c r="A55" s="11" t="s">
        <v>301</v>
      </c>
      <c r="B55" s="12" t="s">
        <v>276</v>
      </c>
      <c r="C55" s="12" t="s">
        <v>302</v>
      </c>
      <c r="D55" s="12" t="s">
        <v>303</v>
      </c>
      <c r="E55" s="12" t="s">
        <v>304</v>
      </c>
      <c r="F55" s="12" t="s">
        <v>305</v>
      </c>
      <c r="G55" s="12" t="s">
        <v>306</v>
      </c>
      <c r="H55" s="13" t="s">
        <v>20</v>
      </c>
      <c r="I55" s="13" t="s">
        <v>21</v>
      </c>
      <c r="J55" s="12" t="s">
        <v>286</v>
      </c>
      <c r="K55" s="12" t="s">
        <v>30</v>
      </c>
      <c r="L55" s="13" t="s">
        <v>63</v>
      </c>
      <c r="M55" s="13" t="s">
        <v>25</v>
      </c>
    </row>
    <row r="56" customFormat="false" ht="15" hidden="false" customHeight="false" outlineLevel="0" collapsed="false">
      <c r="A56" s="11" t="s">
        <v>307</v>
      </c>
      <c r="B56" s="12" t="s">
        <v>276</v>
      </c>
      <c r="C56" s="12" t="s">
        <v>302</v>
      </c>
      <c r="D56" s="12" t="s">
        <v>308</v>
      </c>
      <c r="E56" s="12" t="s">
        <v>309</v>
      </c>
      <c r="F56" s="12" t="s">
        <v>310</v>
      </c>
      <c r="G56" s="12" t="s">
        <v>311</v>
      </c>
      <c r="H56" s="13" t="s">
        <v>20</v>
      </c>
      <c r="I56" s="13" t="s">
        <v>41</v>
      </c>
      <c r="J56" s="12" t="s">
        <v>301</v>
      </c>
      <c r="K56" s="12" t="s">
        <v>30</v>
      </c>
      <c r="L56" s="13" t="s">
        <v>63</v>
      </c>
      <c r="M56" s="13" t="s">
        <v>25</v>
      </c>
    </row>
    <row r="57" customFormat="false" ht="15" hidden="false" customHeight="false" outlineLevel="0" collapsed="false">
      <c r="A57" s="11" t="s">
        <v>312</v>
      </c>
      <c r="B57" s="12" t="s">
        <v>276</v>
      </c>
      <c r="C57" s="12" t="s">
        <v>297</v>
      </c>
      <c r="D57" s="12" t="s">
        <v>313</v>
      </c>
      <c r="E57" s="12" t="s">
        <v>314</v>
      </c>
      <c r="F57" s="12" t="s">
        <v>315</v>
      </c>
      <c r="G57" s="12" t="s">
        <v>316</v>
      </c>
      <c r="H57" s="13" t="s">
        <v>20</v>
      </c>
      <c r="I57" s="13" t="s">
        <v>21</v>
      </c>
      <c r="J57" s="12" t="s">
        <v>301</v>
      </c>
      <c r="K57" s="12" t="s">
        <v>30</v>
      </c>
      <c r="L57" s="13" t="s">
        <v>63</v>
      </c>
      <c r="M57" s="13" t="s">
        <v>25</v>
      </c>
    </row>
    <row r="58" customFormat="false" ht="15" hidden="false" customHeight="false" outlineLevel="0" collapsed="false">
      <c r="A58" s="11" t="s">
        <v>317</v>
      </c>
      <c r="B58" s="12" t="s">
        <v>276</v>
      </c>
      <c r="C58" s="12" t="s">
        <v>297</v>
      </c>
      <c r="D58" s="12" t="s">
        <v>65</v>
      </c>
      <c r="E58" s="12" t="s">
        <v>318</v>
      </c>
      <c r="F58" s="12" t="s">
        <v>319</v>
      </c>
      <c r="G58" s="12" t="s">
        <v>320</v>
      </c>
      <c r="H58" s="13" t="s">
        <v>20</v>
      </c>
      <c r="I58" s="13" t="s">
        <v>41</v>
      </c>
      <c r="J58" s="12" t="s">
        <v>301</v>
      </c>
      <c r="K58" s="12" t="s">
        <v>69</v>
      </c>
      <c r="L58" s="13" t="s">
        <v>63</v>
      </c>
      <c r="M58" s="13" t="s">
        <v>25</v>
      </c>
    </row>
    <row r="59" customFormat="false" ht="15" hidden="false" customHeight="false" outlineLevel="0" collapsed="false">
      <c r="A59" s="14" t="s">
        <v>321</v>
      </c>
      <c r="B59" s="15" t="s">
        <v>322</v>
      </c>
      <c r="C59" s="15" t="s">
        <v>323</v>
      </c>
      <c r="D59" s="15" t="s">
        <v>113</v>
      </c>
      <c r="E59" s="15" t="s">
        <v>324</v>
      </c>
      <c r="F59" s="15" t="s">
        <v>325</v>
      </c>
      <c r="G59" s="15" t="s">
        <v>326</v>
      </c>
      <c r="H59" s="16" t="s">
        <v>40</v>
      </c>
      <c r="I59" s="16" t="s">
        <v>21</v>
      </c>
      <c r="J59" s="15" t="s">
        <v>13</v>
      </c>
      <c r="K59" s="15" t="s">
        <v>23</v>
      </c>
      <c r="L59" s="16" t="s">
        <v>24</v>
      </c>
      <c r="M59" s="16" t="s">
        <v>25</v>
      </c>
    </row>
    <row r="60" customFormat="false" ht="15" hidden="false" customHeight="false" outlineLevel="0" collapsed="false">
      <c r="A60" s="14" t="s">
        <v>327</v>
      </c>
      <c r="B60" s="15" t="s">
        <v>322</v>
      </c>
      <c r="C60" s="15" t="s">
        <v>323</v>
      </c>
      <c r="D60" s="15" t="s">
        <v>282</v>
      </c>
      <c r="E60" s="15" t="s">
        <v>328</v>
      </c>
      <c r="F60" s="15" t="s">
        <v>329</v>
      </c>
      <c r="G60" s="15" t="s">
        <v>330</v>
      </c>
      <c r="H60" s="16" t="s">
        <v>20</v>
      </c>
      <c r="I60" s="16" t="s">
        <v>21</v>
      </c>
      <c r="J60" s="15" t="s">
        <v>321</v>
      </c>
      <c r="K60" s="15" t="s">
        <v>30</v>
      </c>
      <c r="L60" s="16" t="s">
        <v>63</v>
      </c>
      <c r="M60" s="16" t="s">
        <v>25</v>
      </c>
    </row>
    <row r="61" customFormat="false" ht="15" hidden="false" customHeight="false" outlineLevel="0" collapsed="false">
      <c r="A61" s="14" t="s">
        <v>331</v>
      </c>
      <c r="B61" s="15" t="s">
        <v>322</v>
      </c>
      <c r="C61" s="15" t="s">
        <v>332</v>
      </c>
      <c r="D61" s="15" t="s">
        <v>333</v>
      </c>
      <c r="E61" s="15" t="s">
        <v>334</v>
      </c>
      <c r="F61" s="15" t="s">
        <v>335</v>
      </c>
      <c r="G61" s="15" t="s">
        <v>336</v>
      </c>
      <c r="H61" s="16" t="s">
        <v>20</v>
      </c>
      <c r="I61" s="16" t="s">
        <v>21</v>
      </c>
      <c r="J61" s="15" t="s">
        <v>327</v>
      </c>
      <c r="K61" s="15" t="s">
        <v>30</v>
      </c>
      <c r="L61" s="16" t="s">
        <v>63</v>
      </c>
      <c r="M61" s="16" t="s">
        <v>25</v>
      </c>
    </row>
    <row r="62" customFormat="false" ht="15" hidden="false" customHeight="false" outlineLevel="0" collapsed="false">
      <c r="A62" s="14" t="s">
        <v>337</v>
      </c>
      <c r="B62" s="15" t="s">
        <v>322</v>
      </c>
      <c r="C62" s="15" t="s">
        <v>332</v>
      </c>
      <c r="D62" s="15" t="s">
        <v>338</v>
      </c>
      <c r="E62" s="15" t="s">
        <v>339</v>
      </c>
      <c r="F62" s="15" t="s">
        <v>340</v>
      </c>
      <c r="G62" s="15" t="s">
        <v>341</v>
      </c>
      <c r="H62" s="16" t="s">
        <v>20</v>
      </c>
      <c r="I62" s="16" t="s">
        <v>21</v>
      </c>
      <c r="J62" s="15" t="s">
        <v>327</v>
      </c>
      <c r="K62" s="15" t="s">
        <v>30</v>
      </c>
      <c r="L62" s="16" t="s">
        <v>63</v>
      </c>
      <c r="M62" s="16" t="s">
        <v>25</v>
      </c>
    </row>
    <row r="63" customFormat="false" ht="15" hidden="false" customHeight="false" outlineLevel="0" collapsed="false">
      <c r="A63" s="14" t="s">
        <v>342</v>
      </c>
      <c r="B63" s="15" t="s">
        <v>322</v>
      </c>
      <c r="C63" s="15" t="s">
        <v>332</v>
      </c>
      <c r="D63" s="15" t="s">
        <v>343</v>
      </c>
      <c r="E63" s="15" t="s">
        <v>344</v>
      </c>
      <c r="F63" s="15" t="s">
        <v>345</v>
      </c>
      <c r="G63" s="15" t="s">
        <v>346</v>
      </c>
      <c r="H63" s="16" t="s">
        <v>40</v>
      </c>
      <c r="I63" s="16" t="s">
        <v>41</v>
      </c>
      <c r="J63" s="15" t="s">
        <v>331</v>
      </c>
      <c r="K63" s="15" t="s">
        <v>30</v>
      </c>
      <c r="L63" s="16" t="s">
        <v>63</v>
      </c>
      <c r="M63" s="16" t="s">
        <v>25</v>
      </c>
    </row>
    <row r="64" customFormat="false" ht="15" hidden="false" customHeight="false" outlineLevel="0" collapsed="false">
      <c r="A64" s="14" t="s">
        <v>347</v>
      </c>
      <c r="B64" s="15" t="s">
        <v>322</v>
      </c>
      <c r="C64" s="15" t="s">
        <v>313</v>
      </c>
      <c r="D64" s="15" t="s">
        <v>348</v>
      </c>
      <c r="E64" s="15" t="s">
        <v>349</v>
      </c>
      <c r="F64" s="15" t="s">
        <v>350</v>
      </c>
      <c r="G64" s="15" t="s">
        <v>351</v>
      </c>
      <c r="H64" s="16" t="s">
        <v>20</v>
      </c>
      <c r="I64" s="16" t="s">
        <v>21</v>
      </c>
      <c r="J64" s="15" t="s">
        <v>337</v>
      </c>
      <c r="K64" s="15" t="s">
        <v>30</v>
      </c>
      <c r="L64" s="16" t="s">
        <v>63</v>
      </c>
      <c r="M64" s="16" t="s">
        <v>25</v>
      </c>
    </row>
    <row r="65" customFormat="false" ht="15" hidden="false" customHeight="false" outlineLevel="0" collapsed="false">
      <c r="A65" s="14" t="s">
        <v>352</v>
      </c>
      <c r="B65" s="15" t="s">
        <v>322</v>
      </c>
      <c r="C65" s="15" t="s">
        <v>313</v>
      </c>
      <c r="D65" s="15" t="s">
        <v>353</v>
      </c>
      <c r="E65" s="15" t="s">
        <v>354</v>
      </c>
      <c r="F65" s="15" t="s">
        <v>355</v>
      </c>
      <c r="G65" s="15" t="s">
        <v>356</v>
      </c>
      <c r="H65" s="16" t="s">
        <v>20</v>
      </c>
      <c r="I65" s="16" t="s">
        <v>154</v>
      </c>
      <c r="J65" s="15" t="s">
        <v>342</v>
      </c>
      <c r="K65" s="15" t="s">
        <v>30</v>
      </c>
      <c r="L65" s="16" t="s">
        <v>63</v>
      </c>
      <c r="M65" s="16" t="s">
        <v>25</v>
      </c>
    </row>
    <row r="66" customFormat="false" ht="15" hidden="false" customHeight="false" outlineLevel="0" collapsed="false">
      <c r="A66" s="17" t="s">
        <v>357</v>
      </c>
      <c r="B66" s="18" t="s">
        <v>358</v>
      </c>
      <c r="C66" s="18" t="s">
        <v>323</v>
      </c>
      <c r="D66" s="18" t="s">
        <v>113</v>
      </c>
      <c r="E66" s="18" t="s">
        <v>359</v>
      </c>
      <c r="F66" s="18" t="s">
        <v>360</v>
      </c>
      <c r="G66" s="18" t="s">
        <v>361</v>
      </c>
      <c r="H66" s="19" t="s">
        <v>40</v>
      </c>
      <c r="I66" s="19" t="s">
        <v>21</v>
      </c>
      <c r="J66" s="18" t="s">
        <v>13</v>
      </c>
      <c r="K66" s="18" t="s">
        <v>23</v>
      </c>
      <c r="L66" s="19" t="s">
        <v>24</v>
      </c>
      <c r="M66" s="19" t="s">
        <v>25</v>
      </c>
    </row>
    <row r="67" customFormat="false" ht="15" hidden="false" customHeight="false" outlineLevel="0" collapsed="false">
      <c r="A67" s="17" t="s">
        <v>362</v>
      </c>
      <c r="B67" s="18" t="s">
        <v>358</v>
      </c>
      <c r="C67" s="18" t="s">
        <v>363</v>
      </c>
      <c r="D67" s="18" t="s">
        <v>364</v>
      </c>
      <c r="E67" s="18" t="s">
        <v>365</v>
      </c>
      <c r="F67" s="18" t="s">
        <v>366</v>
      </c>
      <c r="G67" s="18" t="s">
        <v>367</v>
      </c>
      <c r="H67" s="19" t="s">
        <v>20</v>
      </c>
      <c r="I67" s="19" t="s">
        <v>21</v>
      </c>
      <c r="J67" s="18" t="s">
        <v>357</v>
      </c>
      <c r="K67" s="18" t="s">
        <v>23</v>
      </c>
      <c r="L67" s="19" t="s">
        <v>63</v>
      </c>
      <c r="M67" s="19" t="s">
        <v>25</v>
      </c>
    </row>
    <row r="68" customFormat="false" ht="15" hidden="false" customHeight="false" outlineLevel="0" collapsed="false">
      <c r="A68" s="17" t="s">
        <v>368</v>
      </c>
      <c r="B68" s="18" t="s">
        <v>358</v>
      </c>
      <c r="C68" s="18" t="s">
        <v>369</v>
      </c>
      <c r="D68" s="18" t="s">
        <v>370</v>
      </c>
      <c r="E68" s="18" t="s">
        <v>371</v>
      </c>
      <c r="F68" s="18" t="s">
        <v>372</v>
      </c>
      <c r="G68" s="18" t="s">
        <v>373</v>
      </c>
      <c r="H68" s="19" t="s">
        <v>20</v>
      </c>
      <c r="I68" s="19" t="s">
        <v>21</v>
      </c>
      <c r="J68" s="18" t="s">
        <v>362</v>
      </c>
      <c r="K68" s="18" t="s">
        <v>30</v>
      </c>
      <c r="L68" s="19" t="s">
        <v>63</v>
      </c>
      <c r="M68" s="19" t="s">
        <v>25</v>
      </c>
    </row>
    <row r="69" customFormat="false" ht="15" hidden="false" customHeight="false" outlineLevel="0" collapsed="false">
      <c r="A69" s="17" t="s">
        <v>374</v>
      </c>
      <c r="B69" s="18" t="s">
        <v>358</v>
      </c>
      <c r="C69" s="18" t="s">
        <v>369</v>
      </c>
      <c r="D69" s="18" t="s">
        <v>375</v>
      </c>
      <c r="E69" s="18" t="s">
        <v>376</v>
      </c>
      <c r="F69" s="18" t="s">
        <v>377</v>
      </c>
      <c r="G69" s="18" t="s">
        <v>378</v>
      </c>
      <c r="H69" s="19" t="s">
        <v>20</v>
      </c>
      <c r="I69" s="19" t="s">
        <v>41</v>
      </c>
      <c r="J69" s="18" t="s">
        <v>362</v>
      </c>
      <c r="K69" s="18" t="s">
        <v>30</v>
      </c>
      <c r="L69" s="19" t="s">
        <v>63</v>
      </c>
      <c r="M69" s="19" t="s">
        <v>25</v>
      </c>
    </row>
    <row r="70" customFormat="false" ht="15" hidden="false" customHeight="false" outlineLevel="0" collapsed="false">
      <c r="A70" s="17" t="s">
        <v>379</v>
      </c>
      <c r="B70" s="18" t="s">
        <v>358</v>
      </c>
      <c r="C70" s="18" t="s">
        <v>380</v>
      </c>
      <c r="D70" s="18" t="s">
        <v>381</v>
      </c>
      <c r="E70" s="18" t="s">
        <v>382</v>
      </c>
      <c r="F70" s="18" t="s">
        <v>383</v>
      </c>
      <c r="G70" s="18" t="s">
        <v>384</v>
      </c>
      <c r="H70" s="19" t="s">
        <v>20</v>
      </c>
      <c r="I70" s="19" t="s">
        <v>21</v>
      </c>
      <c r="J70" s="18" t="s">
        <v>368</v>
      </c>
      <c r="K70" s="18" t="s">
        <v>30</v>
      </c>
      <c r="L70" s="19" t="s">
        <v>63</v>
      </c>
      <c r="M70" s="19" t="s">
        <v>25</v>
      </c>
    </row>
    <row r="71" customFormat="false" ht="15" hidden="false" customHeight="false" outlineLevel="0" collapsed="false">
      <c r="A71" s="17" t="s">
        <v>385</v>
      </c>
      <c r="B71" s="18" t="s">
        <v>358</v>
      </c>
      <c r="C71" s="18" t="s">
        <v>380</v>
      </c>
      <c r="D71" s="18" t="s">
        <v>386</v>
      </c>
      <c r="E71" s="18" t="s">
        <v>387</v>
      </c>
      <c r="F71" s="18" t="s">
        <v>388</v>
      </c>
      <c r="G71" s="18" t="s">
        <v>389</v>
      </c>
      <c r="H71" s="19" t="s">
        <v>40</v>
      </c>
      <c r="I71" s="19" t="s">
        <v>41</v>
      </c>
      <c r="J71" s="18" t="s">
        <v>379</v>
      </c>
      <c r="K71" s="18" t="s">
        <v>30</v>
      </c>
      <c r="L71" s="19" t="s">
        <v>63</v>
      </c>
      <c r="M71" s="19" t="s">
        <v>25</v>
      </c>
    </row>
    <row r="72" customFormat="false" ht="15" hidden="false" customHeight="false" outlineLevel="0" collapsed="false">
      <c r="A72" s="20" t="s">
        <v>390</v>
      </c>
      <c r="B72" s="21" t="s">
        <v>391</v>
      </c>
      <c r="C72" s="21" t="s">
        <v>392</v>
      </c>
      <c r="D72" s="21" t="s">
        <v>323</v>
      </c>
      <c r="E72" s="21" t="s">
        <v>393</v>
      </c>
      <c r="F72" s="21" t="s">
        <v>394</v>
      </c>
      <c r="G72" s="21" t="s">
        <v>395</v>
      </c>
      <c r="H72" s="22" t="s">
        <v>20</v>
      </c>
      <c r="I72" s="22" t="s">
        <v>21</v>
      </c>
      <c r="J72" s="21" t="s">
        <v>13</v>
      </c>
      <c r="K72" s="21" t="s">
        <v>23</v>
      </c>
      <c r="L72" s="22" t="s">
        <v>24</v>
      </c>
      <c r="M72" s="22" t="s">
        <v>25</v>
      </c>
    </row>
    <row r="73" customFormat="false" ht="15" hidden="false" customHeight="false" outlineLevel="0" collapsed="false">
      <c r="A73" s="20" t="s">
        <v>396</v>
      </c>
      <c r="B73" s="21" t="s">
        <v>391</v>
      </c>
      <c r="C73" s="21" t="s">
        <v>392</v>
      </c>
      <c r="D73" s="21" t="s">
        <v>397</v>
      </c>
      <c r="E73" s="21" t="s">
        <v>398</v>
      </c>
      <c r="F73" s="21" t="s">
        <v>399</v>
      </c>
      <c r="G73" s="21" t="s">
        <v>400</v>
      </c>
      <c r="H73" s="22" t="s">
        <v>20</v>
      </c>
      <c r="I73" s="22" t="s">
        <v>21</v>
      </c>
      <c r="J73" s="21" t="s">
        <v>390</v>
      </c>
      <c r="K73" s="21" t="s">
        <v>80</v>
      </c>
      <c r="L73" s="22" t="s">
        <v>63</v>
      </c>
      <c r="M73" s="22" t="s">
        <v>25</v>
      </c>
    </row>
    <row r="74" customFormat="false" ht="35.05" hidden="false" customHeight="false" outlineLevel="0" collapsed="false">
      <c r="A74" s="20" t="s">
        <v>401</v>
      </c>
      <c r="B74" s="21" t="s">
        <v>391</v>
      </c>
      <c r="C74" s="21" t="s">
        <v>392</v>
      </c>
      <c r="D74" s="21" t="s">
        <v>402</v>
      </c>
      <c r="E74" s="21" t="s">
        <v>403</v>
      </c>
      <c r="F74" s="21" t="s">
        <v>404</v>
      </c>
      <c r="G74" s="21" t="s">
        <v>405</v>
      </c>
      <c r="H74" s="22" t="s">
        <v>57</v>
      </c>
      <c r="I74" s="22" t="s">
        <v>21</v>
      </c>
      <c r="J74" s="21" t="s">
        <v>396</v>
      </c>
      <c r="K74" s="21" t="s">
        <v>80</v>
      </c>
      <c r="L74" s="22" t="s">
        <v>63</v>
      </c>
      <c r="M74" s="22" t="s">
        <v>25</v>
      </c>
    </row>
    <row r="75" customFormat="false" ht="15" hidden="false" customHeight="false" outlineLevel="0" collapsed="false">
      <c r="A75" s="20" t="s">
        <v>406</v>
      </c>
      <c r="B75" s="21" t="s">
        <v>391</v>
      </c>
      <c r="C75" s="21" t="s">
        <v>407</v>
      </c>
      <c r="D75" s="21" t="s">
        <v>408</v>
      </c>
      <c r="E75" s="21" t="s">
        <v>409</v>
      </c>
      <c r="F75" s="21" t="s">
        <v>410</v>
      </c>
      <c r="G75" s="21" t="s">
        <v>411</v>
      </c>
      <c r="H75" s="22" t="s">
        <v>57</v>
      </c>
      <c r="I75" s="22" t="s">
        <v>21</v>
      </c>
      <c r="J75" s="21" t="s">
        <v>396</v>
      </c>
      <c r="K75" s="21" t="s">
        <v>80</v>
      </c>
      <c r="L75" s="22" t="s">
        <v>63</v>
      </c>
      <c r="M75" s="22" t="s">
        <v>25</v>
      </c>
    </row>
    <row r="76" customFormat="false" ht="15" hidden="false" customHeight="false" outlineLevel="0" collapsed="false">
      <c r="A76" s="20" t="s">
        <v>412</v>
      </c>
      <c r="B76" s="21" t="s">
        <v>391</v>
      </c>
      <c r="C76" s="21" t="s">
        <v>407</v>
      </c>
      <c r="D76" s="21" t="s">
        <v>221</v>
      </c>
      <c r="E76" s="21" t="s">
        <v>413</v>
      </c>
      <c r="F76" s="21" t="s">
        <v>414</v>
      </c>
      <c r="G76" s="21" t="s">
        <v>415</v>
      </c>
      <c r="H76" s="22" t="s">
        <v>57</v>
      </c>
      <c r="I76" s="22" t="s">
        <v>41</v>
      </c>
      <c r="J76" s="21" t="s">
        <v>406</v>
      </c>
      <c r="K76" s="21" t="s">
        <v>80</v>
      </c>
      <c r="L76" s="22" t="s">
        <v>63</v>
      </c>
      <c r="M76" s="22" t="s">
        <v>25</v>
      </c>
    </row>
    <row r="77" customFormat="false" ht="15" hidden="false" customHeight="false" outlineLevel="0" collapsed="false">
      <c r="A77" s="20" t="s">
        <v>416</v>
      </c>
      <c r="B77" s="21" t="s">
        <v>391</v>
      </c>
      <c r="C77" s="21" t="s">
        <v>407</v>
      </c>
      <c r="D77" s="21" t="s">
        <v>417</v>
      </c>
      <c r="E77" s="21" t="s">
        <v>418</v>
      </c>
      <c r="F77" s="21" t="s">
        <v>419</v>
      </c>
      <c r="G77" s="21" t="s">
        <v>420</v>
      </c>
      <c r="H77" s="22" t="s">
        <v>57</v>
      </c>
      <c r="I77" s="22" t="s">
        <v>41</v>
      </c>
      <c r="J77" s="21" t="s">
        <v>412</v>
      </c>
      <c r="K77" s="21" t="s">
        <v>80</v>
      </c>
      <c r="L77" s="22" t="s">
        <v>63</v>
      </c>
      <c r="M77" s="22" t="s">
        <v>25</v>
      </c>
    </row>
    <row r="78" customFormat="false" ht="15" hidden="false" customHeight="false" outlineLevel="0" collapsed="false">
      <c r="A78" s="20" t="s">
        <v>421</v>
      </c>
      <c r="B78" s="21" t="s">
        <v>391</v>
      </c>
      <c r="C78" s="21" t="s">
        <v>407</v>
      </c>
      <c r="D78" s="21" t="s">
        <v>422</v>
      </c>
      <c r="E78" s="21" t="s">
        <v>423</v>
      </c>
      <c r="F78" s="21" t="s">
        <v>424</v>
      </c>
      <c r="G78" s="21" t="s">
        <v>425</v>
      </c>
      <c r="H78" s="22" t="s">
        <v>20</v>
      </c>
      <c r="I78" s="22" t="s">
        <v>41</v>
      </c>
      <c r="J78" s="21" t="s">
        <v>406</v>
      </c>
      <c r="K78" s="21" t="s">
        <v>80</v>
      </c>
      <c r="L78" s="22" t="s">
        <v>63</v>
      </c>
      <c r="M78" s="22" t="s">
        <v>25</v>
      </c>
    </row>
    <row r="79" customFormat="false" ht="15" hidden="false" customHeight="false" outlineLevel="0" collapsed="false">
      <c r="A79" s="20" t="s">
        <v>426</v>
      </c>
      <c r="B79" s="21" t="s">
        <v>391</v>
      </c>
      <c r="C79" s="21" t="s">
        <v>407</v>
      </c>
      <c r="D79" s="21" t="s">
        <v>427</v>
      </c>
      <c r="E79" s="21" t="s">
        <v>428</v>
      </c>
      <c r="F79" s="21" t="s">
        <v>429</v>
      </c>
      <c r="G79" s="21" t="s">
        <v>430</v>
      </c>
      <c r="H79" s="22" t="s">
        <v>20</v>
      </c>
      <c r="I79" s="22" t="s">
        <v>154</v>
      </c>
      <c r="J79" s="21" t="s">
        <v>406</v>
      </c>
      <c r="K79" s="21" t="s">
        <v>80</v>
      </c>
      <c r="L79" s="22" t="s">
        <v>63</v>
      </c>
      <c r="M79" s="22" t="s">
        <v>25</v>
      </c>
    </row>
    <row r="80" customFormat="false" ht="15" hidden="false" customHeight="false" outlineLevel="0" collapsed="false">
      <c r="A80" s="20" t="s">
        <v>431</v>
      </c>
      <c r="B80" s="21" t="s">
        <v>391</v>
      </c>
      <c r="C80" s="21" t="s">
        <v>407</v>
      </c>
      <c r="D80" s="21" t="s">
        <v>432</v>
      </c>
      <c r="E80" s="21" t="s">
        <v>433</v>
      </c>
      <c r="F80" s="21" t="s">
        <v>434</v>
      </c>
      <c r="G80" s="21" t="s">
        <v>435</v>
      </c>
      <c r="H80" s="22" t="s">
        <v>20</v>
      </c>
      <c r="I80" s="22" t="s">
        <v>41</v>
      </c>
      <c r="J80" s="21" t="s">
        <v>406</v>
      </c>
      <c r="K80" s="21" t="s">
        <v>80</v>
      </c>
      <c r="L80" s="22" t="s">
        <v>63</v>
      </c>
      <c r="M80" s="22" t="s">
        <v>25</v>
      </c>
    </row>
    <row r="81" customFormat="false" ht="15" hidden="false" customHeight="false" outlineLevel="0" collapsed="false">
      <c r="A81" s="20" t="s">
        <v>436</v>
      </c>
      <c r="B81" s="21" t="s">
        <v>391</v>
      </c>
      <c r="C81" s="21" t="s">
        <v>407</v>
      </c>
      <c r="D81" s="21" t="s">
        <v>437</v>
      </c>
      <c r="E81" s="21" t="s">
        <v>438</v>
      </c>
      <c r="F81" s="21" t="s">
        <v>439</v>
      </c>
      <c r="G81" s="21" t="s">
        <v>440</v>
      </c>
      <c r="H81" s="22" t="s">
        <v>20</v>
      </c>
      <c r="I81" s="22" t="s">
        <v>154</v>
      </c>
      <c r="J81" s="21" t="s">
        <v>406</v>
      </c>
      <c r="K81" s="21" t="s">
        <v>80</v>
      </c>
      <c r="L81" s="22" t="s">
        <v>63</v>
      </c>
      <c r="M81" s="22" t="s">
        <v>25</v>
      </c>
    </row>
    <row r="82" customFormat="false" ht="15" hidden="false" customHeight="false" outlineLevel="0" collapsed="false">
      <c r="A82" s="20" t="s">
        <v>441</v>
      </c>
      <c r="B82" s="21" t="s">
        <v>391</v>
      </c>
      <c r="C82" s="21" t="s">
        <v>407</v>
      </c>
      <c r="D82" s="21" t="s">
        <v>442</v>
      </c>
      <c r="E82" s="21" t="s">
        <v>443</v>
      </c>
      <c r="F82" s="21" t="s">
        <v>444</v>
      </c>
      <c r="G82" s="21" t="s">
        <v>445</v>
      </c>
      <c r="H82" s="22" t="s">
        <v>20</v>
      </c>
      <c r="I82" s="22" t="s">
        <v>154</v>
      </c>
      <c r="J82" s="21" t="s">
        <v>406</v>
      </c>
      <c r="K82" s="21" t="s">
        <v>80</v>
      </c>
      <c r="L82" s="22" t="s">
        <v>63</v>
      </c>
      <c r="M82" s="22" t="s">
        <v>25</v>
      </c>
    </row>
    <row r="83" customFormat="false" ht="15" hidden="false" customHeight="false" outlineLevel="0" collapsed="false">
      <c r="A83" s="20" t="s">
        <v>446</v>
      </c>
      <c r="B83" s="21" t="s">
        <v>391</v>
      </c>
      <c r="C83" s="21" t="s">
        <v>447</v>
      </c>
      <c r="D83" s="21" t="s">
        <v>448</v>
      </c>
      <c r="E83" s="21" t="s">
        <v>449</v>
      </c>
      <c r="F83" s="21" t="s">
        <v>450</v>
      </c>
      <c r="G83" s="21" t="s">
        <v>451</v>
      </c>
      <c r="H83" s="22" t="s">
        <v>57</v>
      </c>
      <c r="I83" s="22" t="s">
        <v>41</v>
      </c>
      <c r="J83" s="21" t="s">
        <v>396</v>
      </c>
      <c r="K83" s="21" t="s">
        <v>80</v>
      </c>
      <c r="L83" s="22" t="s">
        <v>63</v>
      </c>
      <c r="M83" s="22" t="s">
        <v>25</v>
      </c>
    </row>
    <row r="84" customFormat="false" ht="15" hidden="false" customHeight="false" outlineLevel="0" collapsed="false">
      <c r="A84" s="20" t="s">
        <v>452</v>
      </c>
      <c r="B84" s="21" t="s">
        <v>391</v>
      </c>
      <c r="C84" s="21" t="s">
        <v>447</v>
      </c>
      <c r="D84" s="21" t="s">
        <v>453</v>
      </c>
      <c r="E84" s="21" t="s">
        <v>454</v>
      </c>
      <c r="F84" s="21" t="s">
        <v>455</v>
      </c>
      <c r="G84" s="21" t="s">
        <v>456</v>
      </c>
      <c r="H84" s="22" t="s">
        <v>57</v>
      </c>
      <c r="I84" s="22" t="s">
        <v>154</v>
      </c>
      <c r="J84" s="21" t="s">
        <v>446</v>
      </c>
      <c r="K84" s="21" t="s">
        <v>80</v>
      </c>
      <c r="L84" s="22" t="s">
        <v>63</v>
      </c>
      <c r="M84" s="22" t="s">
        <v>25</v>
      </c>
    </row>
    <row r="85" customFormat="false" ht="15" hidden="false" customHeight="false" outlineLevel="0" collapsed="false">
      <c r="A85" s="20" t="s">
        <v>457</v>
      </c>
      <c r="B85" s="21" t="s">
        <v>391</v>
      </c>
      <c r="C85" s="21" t="s">
        <v>447</v>
      </c>
      <c r="D85" s="21" t="s">
        <v>458</v>
      </c>
      <c r="E85" s="21" t="s">
        <v>459</v>
      </c>
      <c r="F85" s="21" t="s">
        <v>460</v>
      </c>
      <c r="G85" s="21" t="s">
        <v>461</v>
      </c>
      <c r="H85" s="22" t="s">
        <v>20</v>
      </c>
      <c r="I85" s="22" t="s">
        <v>154</v>
      </c>
      <c r="J85" s="21" t="s">
        <v>446</v>
      </c>
      <c r="K85" s="21" t="s">
        <v>80</v>
      </c>
      <c r="L85" s="22" t="s">
        <v>63</v>
      </c>
      <c r="M85" s="22" t="s">
        <v>25</v>
      </c>
    </row>
    <row r="86" customFormat="false" ht="15" hidden="false" customHeight="false" outlineLevel="0" collapsed="false">
      <c r="A86" s="20" t="s">
        <v>462</v>
      </c>
      <c r="B86" s="21" t="s">
        <v>391</v>
      </c>
      <c r="C86" s="21" t="s">
        <v>463</v>
      </c>
      <c r="D86" s="21" t="s">
        <v>464</v>
      </c>
      <c r="E86" s="21" t="s">
        <v>465</v>
      </c>
      <c r="F86" s="21" t="s">
        <v>466</v>
      </c>
      <c r="G86" s="21" t="s">
        <v>467</v>
      </c>
      <c r="H86" s="22" t="s">
        <v>20</v>
      </c>
      <c r="I86" s="22" t="s">
        <v>41</v>
      </c>
      <c r="J86" s="21" t="s">
        <v>406</v>
      </c>
      <c r="K86" s="21" t="s">
        <v>80</v>
      </c>
      <c r="L86" s="22" t="s">
        <v>63</v>
      </c>
      <c r="M86" s="22" t="s">
        <v>25</v>
      </c>
    </row>
    <row r="87" customFormat="false" ht="23.85" hidden="false" customHeight="false" outlineLevel="0" collapsed="false">
      <c r="A87" s="20" t="s">
        <v>468</v>
      </c>
      <c r="B87" s="21" t="s">
        <v>391</v>
      </c>
      <c r="C87" s="21" t="s">
        <v>463</v>
      </c>
      <c r="D87" s="21" t="s">
        <v>469</v>
      </c>
      <c r="E87" s="21" t="s">
        <v>470</v>
      </c>
      <c r="F87" s="21" t="s">
        <v>471</v>
      </c>
      <c r="G87" s="21" t="s">
        <v>472</v>
      </c>
      <c r="H87" s="22" t="s">
        <v>20</v>
      </c>
      <c r="I87" s="22" t="s">
        <v>41</v>
      </c>
      <c r="J87" s="21" t="s">
        <v>53</v>
      </c>
      <c r="K87" s="21" t="s">
        <v>80</v>
      </c>
      <c r="L87" s="22" t="s">
        <v>63</v>
      </c>
      <c r="M87" s="22" t="s">
        <v>25</v>
      </c>
    </row>
    <row r="88" customFormat="false" ht="15" hidden="false" customHeight="false" outlineLevel="0" collapsed="false">
      <c r="A88" s="20" t="s">
        <v>473</v>
      </c>
      <c r="B88" s="21" t="s">
        <v>391</v>
      </c>
      <c r="C88" s="21" t="s">
        <v>463</v>
      </c>
      <c r="D88" s="21" t="s">
        <v>474</v>
      </c>
      <c r="E88" s="21" t="s">
        <v>475</v>
      </c>
      <c r="F88" s="21" t="s">
        <v>476</v>
      </c>
      <c r="G88" s="21" t="s">
        <v>477</v>
      </c>
      <c r="H88" s="22" t="s">
        <v>20</v>
      </c>
      <c r="I88" s="22" t="s">
        <v>154</v>
      </c>
      <c r="J88" s="21" t="s">
        <v>468</v>
      </c>
      <c r="K88" s="21" t="s">
        <v>80</v>
      </c>
      <c r="L88" s="22" t="s">
        <v>63</v>
      </c>
      <c r="M88" s="22" t="s">
        <v>25</v>
      </c>
    </row>
    <row r="89" customFormat="false" ht="15" hidden="false" customHeight="false" outlineLevel="0" collapsed="false">
      <c r="A89" s="20" t="s">
        <v>478</v>
      </c>
      <c r="B89" s="21" t="s">
        <v>391</v>
      </c>
      <c r="C89" s="21" t="s">
        <v>479</v>
      </c>
      <c r="D89" s="21" t="s">
        <v>480</v>
      </c>
      <c r="E89" s="21" t="s">
        <v>481</v>
      </c>
      <c r="F89" s="21" t="s">
        <v>482</v>
      </c>
      <c r="G89" s="21" t="s">
        <v>483</v>
      </c>
      <c r="H89" s="22" t="s">
        <v>484</v>
      </c>
      <c r="I89" s="22" t="s">
        <v>154</v>
      </c>
      <c r="J89" s="21" t="s">
        <v>416</v>
      </c>
      <c r="K89" s="21" t="s">
        <v>80</v>
      </c>
      <c r="L89" s="22" t="s">
        <v>63</v>
      </c>
      <c r="M89" s="22" t="s">
        <v>25</v>
      </c>
    </row>
    <row r="90" customFormat="false" ht="15" hidden="false" customHeight="false" outlineLevel="0" collapsed="false">
      <c r="A90" s="20" t="s">
        <v>485</v>
      </c>
      <c r="B90" s="21" t="s">
        <v>391</v>
      </c>
      <c r="C90" s="21" t="s">
        <v>486</v>
      </c>
      <c r="D90" s="21" t="s">
        <v>487</v>
      </c>
      <c r="E90" s="21" t="s">
        <v>488</v>
      </c>
      <c r="F90" s="21" t="s">
        <v>489</v>
      </c>
      <c r="G90" s="21" t="s">
        <v>490</v>
      </c>
      <c r="H90" s="22" t="s">
        <v>20</v>
      </c>
      <c r="I90" s="22" t="s">
        <v>154</v>
      </c>
      <c r="J90" s="21" t="s">
        <v>396</v>
      </c>
      <c r="K90" s="21" t="s">
        <v>80</v>
      </c>
      <c r="L90" s="22" t="s">
        <v>63</v>
      </c>
      <c r="M90" s="22" t="s">
        <v>25</v>
      </c>
    </row>
    <row r="91" customFormat="false" ht="15" hidden="false" customHeight="false" outlineLevel="0" collapsed="false">
      <c r="A91" s="23" t="s">
        <v>491</v>
      </c>
      <c r="B91" s="24" t="s">
        <v>492</v>
      </c>
      <c r="C91" s="24" t="s">
        <v>323</v>
      </c>
      <c r="D91" s="24" t="s">
        <v>493</v>
      </c>
      <c r="E91" s="24" t="s">
        <v>494</v>
      </c>
      <c r="F91" s="24" t="s">
        <v>495</v>
      </c>
      <c r="G91" s="24" t="s">
        <v>496</v>
      </c>
      <c r="H91" s="25" t="s">
        <v>20</v>
      </c>
      <c r="I91" s="25" t="s">
        <v>21</v>
      </c>
      <c r="J91" s="24" t="s">
        <v>13</v>
      </c>
      <c r="K91" s="24" t="s">
        <v>497</v>
      </c>
      <c r="L91" s="25" t="s">
        <v>24</v>
      </c>
      <c r="M91" s="25" t="s">
        <v>25</v>
      </c>
    </row>
    <row r="92" customFormat="false" ht="15" hidden="false" customHeight="false" outlineLevel="0" collapsed="false">
      <c r="A92" s="23" t="s">
        <v>498</v>
      </c>
      <c r="B92" s="24" t="s">
        <v>492</v>
      </c>
      <c r="C92" s="24" t="s">
        <v>499</v>
      </c>
      <c r="D92" s="24" t="s">
        <v>500</v>
      </c>
      <c r="E92" s="24" t="s">
        <v>501</v>
      </c>
      <c r="F92" s="24" t="s">
        <v>502</v>
      </c>
      <c r="G92" s="24" t="s">
        <v>503</v>
      </c>
      <c r="H92" s="25" t="s">
        <v>20</v>
      </c>
      <c r="I92" s="25" t="s">
        <v>21</v>
      </c>
      <c r="J92" s="24" t="s">
        <v>85</v>
      </c>
      <c r="K92" s="24" t="s">
        <v>497</v>
      </c>
      <c r="L92" s="25" t="s">
        <v>63</v>
      </c>
      <c r="M92" s="25" t="s">
        <v>25</v>
      </c>
    </row>
    <row r="93" customFormat="false" ht="15" hidden="false" customHeight="false" outlineLevel="0" collapsed="false">
      <c r="A93" s="23" t="s">
        <v>504</v>
      </c>
      <c r="B93" s="24" t="s">
        <v>492</v>
      </c>
      <c r="C93" s="24" t="s">
        <v>499</v>
      </c>
      <c r="D93" s="24" t="s">
        <v>505</v>
      </c>
      <c r="E93" s="24" t="s">
        <v>506</v>
      </c>
      <c r="F93" s="24" t="s">
        <v>507</v>
      </c>
      <c r="G93" s="24" t="s">
        <v>508</v>
      </c>
      <c r="H93" s="25" t="s">
        <v>20</v>
      </c>
      <c r="I93" s="25" t="s">
        <v>41</v>
      </c>
      <c r="J93" s="24" t="s">
        <v>498</v>
      </c>
      <c r="K93" s="24" t="s">
        <v>497</v>
      </c>
      <c r="L93" s="25" t="s">
        <v>63</v>
      </c>
      <c r="M93" s="25" t="s">
        <v>25</v>
      </c>
    </row>
    <row r="94" customFormat="false" ht="15" hidden="false" customHeight="false" outlineLevel="0" collapsed="false">
      <c r="A94" s="23" t="s">
        <v>509</v>
      </c>
      <c r="B94" s="24" t="s">
        <v>492</v>
      </c>
      <c r="C94" s="24" t="s">
        <v>510</v>
      </c>
      <c r="D94" s="24" t="s">
        <v>511</v>
      </c>
      <c r="E94" s="24" t="s">
        <v>512</v>
      </c>
      <c r="F94" s="24" t="s">
        <v>513</v>
      </c>
      <c r="G94" s="24" t="s">
        <v>514</v>
      </c>
      <c r="H94" s="25" t="s">
        <v>20</v>
      </c>
      <c r="I94" s="25" t="s">
        <v>21</v>
      </c>
      <c r="J94" s="24" t="s">
        <v>498</v>
      </c>
      <c r="K94" s="24" t="s">
        <v>497</v>
      </c>
      <c r="L94" s="25" t="s">
        <v>63</v>
      </c>
      <c r="M94" s="25" t="s">
        <v>25</v>
      </c>
    </row>
    <row r="95" customFormat="false" ht="23.85" hidden="false" customHeight="false" outlineLevel="0" collapsed="false">
      <c r="A95" s="23" t="s">
        <v>515</v>
      </c>
      <c r="B95" s="24" t="s">
        <v>492</v>
      </c>
      <c r="C95" s="24" t="s">
        <v>516</v>
      </c>
      <c r="D95" s="24" t="s">
        <v>517</v>
      </c>
      <c r="E95" s="24" t="s">
        <v>518</v>
      </c>
      <c r="F95" s="24" t="s">
        <v>519</v>
      </c>
      <c r="G95" s="24" t="s">
        <v>520</v>
      </c>
      <c r="H95" s="25" t="s">
        <v>57</v>
      </c>
      <c r="I95" s="25" t="s">
        <v>21</v>
      </c>
      <c r="J95" s="24" t="s">
        <v>509</v>
      </c>
      <c r="K95" s="24" t="s">
        <v>497</v>
      </c>
      <c r="L95" s="25" t="s">
        <v>63</v>
      </c>
      <c r="M95" s="25" t="s">
        <v>25</v>
      </c>
    </row>
    <row r="96" customFormat="false" ht="23.85" hidden="false" customHeight="false" outlineLevel="0" collapsed="false">
      <c r="A96" s="23" t="s">
        <v>521</v>
      </c>
      <c r="B96" s="24" t="s">
        <v>492</v>
      </c>
      <c r="C96" s="24" t="s">
        <v>522</v>
      </c>
      <c r="D96" s="24" t="s">
        <v>523</v>
      </c>
      <c r="E96" s="24" t="s">
        <v>524</v>
      </c>
      <c r="F96" s="24" t="s">
        <v>525</v>
      </c>
      <c r="G96" s="24" t="s">
        <v>526</v>
      </c>
      <c r="H96" s="25" t="s">
        <v>57</v>
      </c>
      <c r="I96" s="25" t="s">
        <v>21</v>
      </c>
      <c r="J96" s="24" t="s">
        <v>509</v>
      </c>
      <c r="K96" s="24" t="s">
        <v>497</v>
      </c>
      <c r="L96" s="25" t="s">
        <v>63</v>
      </c>
      <c r="M96" s="25" t="s">
        <v>25</v>
      </c>
    </row>
    <row r="97" customFormat="false" ht="23.85" hidden="false" customHeight="false" outlineLevel="0" collapsed="false">
      <c r="A97" s="23" t="s">
        <v>527</v>
      </c>
      <c r="B97" s="24" t="s">
        <v>492</v>
      </c>
      <c r="C97" s="24" t="s">
        <v>522</v>
      </c>
      <c r="D97" s="24" t="s">
        <v>528</v>
      </c>
      <c r="E97" s="24" t="s">
        <v>529</v>
      </c>
      <c r="F97" s="24" t="s">
        <v>530</v>
      </c>
      <c r="G97" s="24" t="s">
        <v>531</v>
      </c>
      <c r="H97" s="25" t="s">
        <v>40</v>
      </c>
      <c r="I97" s="25" t="s">
        <v>21</v>
      </c>
      <c r="J97" s="24" t="s">
        <v>521</v>
      </c>
      <c r="K97" s="24" t="s">
        <v>497</v>
      </c>
      <c r="L97" s="25" t="s">
        <v>63</v>
      </c>
      <c r="M97" s="25" t="s">
        <v>25</v>
      </c>
    </row>
    <row r="98" customFormat="false" ht="15" hidden="false" customHeight="false" outlineLevel="0" collapsed="false">
      <c r="A98" s="23" t="s">
        <v>532</v>
      </c>
      <c r="B98" s="24" t="s">
        <v>492</v>
      </c>
      <c r="C98" s="24" t="s">
        <v>522</v>
      </c>
      <c r="D98" s="24" t="s">
        <v>533</v>
      </c>
      <c r="E98" s="24" t="s">
        <v>534</v>
      </c>
      <c r="F98" s="24" t="s">
        <v>535</v>
      </c>
      <c r="G98" s="24" t="s">
        <v>536</v>
      </c>
      <c r="H98" s="25" t="s">
        <v>20</v>
      </c>
      <c r="I98" s="25" t="s">
        <v>41</v>
      </c>
      <c r="J98" s="24" t="s">
        <v>509</v>
      </c>
      <c r="K98" s="24" t="s">
        <v>497</v>
      </c>
      <c r="L98" s="25" t="s">
        <v>177</v>
      </c>
      <c r="M98" s="25" t="s">
        <v>25</v>
      </c>
    </row>
    <row r="99" customFormat="false" ht="15" hidden="false" customHeight="false" outlineLevel="0" collapsed="false">
      <c r="A99" s="26" t="s">
        <v>537</v>
      </c>
      <c r="B99" s="27" t="s">
        <v>538</v>
      </c>
      <c r="C99" s="27" t="s">
        <v>323</v>
      </c>
      <c r="D99" s="27" t="s">
        <v>323</v>
      </c>
      <c r="E99" s="27" t="s">
        <v>539</v>
      </c>
      <c r="F99" s="27" t="s">
        <v>540</v>
      </c>
      <c r="G99" s="27" t="s">
        <v>541</v>
      </c>
      <c r="H99" s="28" t="s">
        <v>40</v>
      </c>
      <c r="I99" s="28" t="s">
        <v>41</v>
      </c>
      <c r="J99" s="27" t="s">
        <v>13</v>
      </c>
      <c r="K99" s="27" t="s">
        <v>23</v>
      </c>
      <c r="L99" s="28" t="s">
        <v>24</v>
      </c>
      <c r="M99" s="28" t="s">
        <v>25</v>
      </c>
    </row>
    <row r="100" customFormat="false" ht="15" hidden="false" customHeight="false" outlineLevel="0" collapsed="false">
      <c r="A100" s="26" t="s">
        <v>542</v>
      </c>
      <c r="B100" s="27" t="s">
        <v>538</v>
      </c>
      <c r="C100" s="27" t="s">
        <v>543</v>
      </c>
      <c r="D100" s="27" t="s">
        <v>544</v>
      </c>
      <c r="E100" s="27" t="s">
        <v>545</v>
      </c>
      <c r="F100" s="27" t="s">
        <v>546</v>
      </c>
      <c r="G100" s="27" t="s">
        <v>547</v>
      </c>
      <c r="H100" s="28" t="s">
        <v>20</v>
      </c>
      <c r="I100" s="28" t="s">
        <v>21</v>
      </c>
      <c r="J100" s="27" t="s">
        <v>89</v>
      </c>
      <c r="K100" s="27" t="s">
        <v>30</v>
      </c>
      <c r="L100" s="28" t="s">
        <v>63</v>
      </c>
      <c r="M100" s="28" t="s">
        <v>25</v>
      </c>
    </row>
    <row r="101" customFormat="false" ht="15" hidden="false" customHeight="false" outlineLevel="0" collapsed="false">
      <c r="A101" s="26" t="s">
        <v>548</v>
      </c>
      <c r="B101" s="27" t="s">
        <v>538</v>
      </c>
      <c r="C101" s="27" t="s">
        <v>549</v>
      </c>
      <c r="D101" s="27" t="s">
        <v>550</v>
      </c>
      <c r="E101" s="27" t="s">
        <v>551</v>
      </c>
      <c r="F101" s="27" t="s">
        <v>552</v>
      </c>
      <c r="G101" s="27" t="s">
        <v>553</v>
      </c>
      <c r="H101" s="28" t="s">
        <v>20</v>
      </c>
      <c r="I101" s="28" t="s">
        <v>41</v>
      </c>
      <c r="J101" s="27" t="s">
        <v>542</v>
      </c>
      <c r="K101" s="27" t="s">
        <v>30</v>
      </c>
      <c r="L101" s="28" t="s">
        <v>63</v>
      </c>
      <c r="M101" s="28" t="s">
        <v>25</v>
      </c>
    </row>
    <row r="102" customFormat="false" ht="15" hidden="false" customHeight="false" outlineLevel="0" collapsed="false">
      <c r="A102" s="26" t="s">
        <v>554</v>
      </c>
      <c r="B102" s="27" t="s">
        <v>538</v>
      </c>
      <c r="C102" s="27" t="s">
        <v>297</v>
      </c>
      <c r="D102" s="27" t="s">
        <v>516</v>
      </c>
      <c r="E102" s="27" t="s">
        <v>555</v>
      </c>
      <c r="F102" s="27" t="s">
        <v>556</v>
      </c>
      <c r="G102" s="27" t="s">
        <v>557</v>
      </c>
      <c r="H102" s="28" t="s">
        <v>20</v>
      </c>
      <c r="I102" s="28" t="s">
        <v>41</v>
      </c>
      <c r="J102" s="27" t="s">
        <v>542</v>
      </c>
      <c r="K102" s="27" t="s">
        <v>30</v>
      </c>
      <c r="L102" s="28" t="s">
        <v>63</v>
      </c>
      <c r="M102" s="28" t="s">
        <v>25</v>
      </c>
    </row>
    <row r="103" customFormat="false" ht="23.85" hidden="false" customHeight="false" outlineLevel="0" collapsed="false">
      <c r="A103" s="29" t="s">
        <v>558</v>
      </c>
      <c r="B103" s="30" t="s">
        <v>559</v>
      </c>
      <c r="C103" s="30" t="s">
        <v>323</v>
      </c>
      <c r="D103" s="30" t="s">
        <v>323</v>
      </c>
      <c r="E103" s="30" t="s">
        <v>560</v>
      </c>
      <c r="F103" s="30" t="s">
        <v>561</v>
      </c>
      <c r="G103" s="30" t="s">
        <v>562</v>
      </c>
      <c r="H103" s="31" t="s">
        <v>40</v>
      </c>
      <c r="I103" s="31" t="s">
        <v>21</v>
      </c>
      <c r="J103" s="30" t="s">
        <v>93</v>
      </c>
      <c r="K103" s="30" t="s">
        <v>99</v>
      </c>
      <c r="L103" s="31" t="s">
        <v>24</v>
      </c>
      <c r="M103" s="31" t="s">
        <v>25</v>
      </c>
    </row>
    <row r="104" customFormat="false" ht="23.85" hidden="false" customHeight="false" outlineLevel="0" collapsed="false">
      <c r="A104" s="29" t="s">
        <v>563</v>
      </c>
      <c r="B104" s="30" t="s">
        <v>559</v>
      </c>
      <c r="C104" s="30" t="s">
        <v>564</v>
      </c>
      <c r="D104" s="30" t="s">
        <v>565</v>
      </c>
      <c r="E104" s="30" t="s">
        <v>566</v>
      </c>
      <c r="F104" s="30" t="s">
        <v>567</v>
      </c>
      <c r="G104" s="30" t="s">
        <v>568</v>
      </c>
      <c r="H104" s="31" t="s">
        <v>57</v>
      </c>
      <c r="I104" s="31" t="s">
        <v>21</v>
      </c>
      <c r="J104" s="30" t="s">
        <v>558</v>
      </c>
      <c r="K104" s="30" t="s">
        <v>99</v>
      </c>
      <c r="L104" s="31" t="s">
        <v>63</v>
      </c>
      <c r="M104" s="31" t="s">
        <v>25</v>
      </c>
    </row>
    <row r="105" customFormat="false" ht="23.85" hidden="false" customHeight="false" outlineLevel="0" collapsed="false">
      <c r="A105" s="29" t="s">
        <v>569</v>
      </c>
      <c r="B105" s="30" t="s">
        <v>559</v>
      </c>
      <c r="C105" s="30" t="s">
        <v>564</v>
      </c>
      <c r="D105" s="30" t="s">
        <v>570</v>
      </c>
      <c r="E105" s="30" t="s">
        <v>571</v>
      </c>
      <c r="F105" s="30" t="s">
        <v>572</v>
      </c>
      <c r="G105" s="30" t="s">
        <v>573</v>
      </c>
      <c r="H105" s="31" t="s">
        <v>20</v>
      </c>
      <c r="I105" s="31" t="s">
        <v>41</v>
      </c>
      <c r="J105" s="30" t="s">
        <v>563</v>
      </c>
      <c r="K105" s="30" t="s">
        <v>99</v>
      </c>
      <c r="L105" s="31" t="s">
        <v>574</v>
      </c>
      <c r="M105" s="31" t="s">
        <v>25</v>
      </c>
    </row>
    <row r="106" customFormat="false" ht="23.85" hidden="false" customHeight="false" outlineLevel="0" collapsed="false">
      <c r="A106" s="29" t="s">
        <v>575</v>
      </c>
      <c r="B106" s="30" t="s">
        <v>559</v>
      </c>
      <c r="C106" s="30" t="s">
        <v>576</v>
      </c>
      <c r="D106" s="30" t="s">
        <v>577</v>
      </c>
      <c r="E106" s="30" t="s">
        <v>578</v>
      </c>
      <c r="F106" s="30" t="s">
        <v>579</v>
      </c>
      <c r="G106" s="30" t="s">
        <v>580</v>
      </c>
      <c r="H106" s="31" t="s">
        <v>20</v>
      </c>
      <c r="I106" s="31" t="s">
        <v>21</v>
      </c>
      <c r="J106" s="30" t="s">
        <v>105</v>
      </c>
      <c r="K106" s="30" t="s">
        <v>99</v>
      </c>
      <c r="L106" s="31" t="s">
        <v>24</v>
      </c>
      <c r="M106" s="31" t="s">
        <v>25</v>
      </c>
    </row>
    <row r="107" customFormat="false" ht="23.85" hidden="false" customHeight="false" outlineLevel="0" collapsed="false">
      <c r="A107" s="29" t="s">
        <v>581</v>
      </c>
      <c r="B107" s="30" t="s">
        <v>559</v>
      </c>
      <c r="C107" s="30" t="s">
        <v>576</v>
      </c>
      <c r="D107" s="30" t="s">
        <v>582</v>
      </c>
      <c r="E107" s="30" t="s">
        <v>583</v>
      </c>
      <c r="F107" s="30" t="s">
        <v>584</v>
      </c>
      <c r="G107" s="30" t="s">
        <v>585</v>
      </c>
      <c r="H107" s="31" t="s">
        <v>20</v>
      </c>
      <c r="I107" s="31" t="s">
        <v>41</v>
      </c>
      <c r="J107" s="30" t="s">
        <v>563</v>
      </c>
      <c r="K107" s="30" t="s">
        <v>99</v>
      </c>
      <c r="L107" s="31" t="s">
        <v>574</v>
      </c>
      <c r="M107" s="31" t="s">
        <v>25</v>
      </c>
    </row>
    <row r="108" customFormat="false" ht="23.85" hidden="false" customHeight="false" outlineLevel="0" collapsed="false">
      <c r="A108" s="32" t="s">
        <v>586</v>
      </c>
      <c r="B108" s="33" t="s">
        <v>587</v>
      </c>
      <c r="C108" s="33" t="s">
        <v>323</v>
      </c>
      <c r="D108" s="33" t="s">
        <v>588</v>
      </c>
      <c r="E108" s="33" t="s">
        <v>589</v>
      </c>
      <c r="F108" s="33" t="s">
        <v>590</v>
      </c>
      <c r="G108" s="33" t="s">
        <v>591</v>
      </c>
      <c r="H108" s="34" t="s">
        <v>40</v>
      </c>
      <c r="I108" s="34" t="s">
        <v>21</v>
      </c>
      <c r="J108" s="33" t="s">
        <v>13</v>
      </c>
      <c r="K108" s="33" t="s">
        <v>23</v>
      </c>
      <c r="L108" s="34" t="s">
        <v>24</v>
      </c>
      <c r="M108" s="34" t="s">
        <v>25</v>
      </c>
    </row>
    <row r="109" customFormat="false" ht="23.85" hidden="false" customHeight="false" outlineLevel="0" collapsed="false">
      <c r="A109" s="32" t="s">
        <v>592</v>
      </c>
      <c r="B109" s="33" t="s">
        <v>587</v>
      </c>
      <c r="C109" s="33" t="s">
        <v>593</v>
      </c>
      <c r="D109" s="33" t="s">
        <v>594</v>
      </c>
      <c r="E109" s="33" t="s">
        <v>595</v>
      </c>
      <c r="F109" s="33" t="s">
        <v>596</v>
      </c>
      <c r="G109" s="33" t="s">
        <v>597</v>
      </c>
      <c r="H109" s="34" t="s">
        <v>40</v>
      </c>
      <c r="I109" s="34" t="s">
        <v>21</v>
      </c>
      <c r="J109" s="33" t="s">
        <v>22</v>
      </c>
      <c r="K109" s="33" t="s">
        <v>99</v>
      </c>
      <c r="L109" s="34" t="s">
        <v>177</v>
      </c>
      <c r="M109" s="34" t="s">
        <v>25</v>
      </c>
    </row>
    <row r="110" customFormat="false" ht="46.25" hidden="false" customHeight="false" outlineLevel="0" collapsed="false">
      <c r="A110" s="32" t="s">
        <v>598</v>
      </c>
      <c r="B110" s="33" t="s">
        <v>587</v>
      </c>
      <c r="C110" s="33" t="s">
        <v>599</v>
      </c>
      <c r="D110" s="33" t="s">
        <v>600</v>
      </c>
      <c r="E110" s="33" t="s">
        <v>601</v>
      </c>
      <c r="F110" s="33" t="s">
        <v>602</v>
      </c>
      <c r="G110" s="33" t="s">
        <v>603</v>
      </c>
      <c r="H110" s="34" t="s">
        <v>57</v>
      </c>
      <c r="I110" s="34" t="s">
        <v>21</v>
      </c>
      <c r="J110" s="33" t="s">
        <v>604</v>
      </c>
      <c r="K110" s="33" t="s">
        <v>30</v>
      </c>
      <c r="L110" s="34" t="s">
        <v>177</v>
      </c>
      <c r="M110" s="34" t="s">
        <v>25</v>
      </c>
    </row>
    <row r="111" customFormat="false" ht="23.85" hidden="false" customHeight="false" outlineLevel="0" collapsed="false">
      <c r="A111" s="32" t="s">
        <v>605</v>
      </c>
      <c r="B111" s="33" t="s">
        <v>587</v>
      </c>
      <c r="C111" s="33" t="s">
        <v>599</v>
      </c>
      <c r="D111" s="33" t="s">
        <v>606</v>
      </c>
      <c r="E111" s="33" t="s">
        <v>607</v>
      </c>
      <c r="F111" s="33" t="s">
        <v>608</v>
      </c>
      <c r="G111" s="33" t="s">
        <v>609</v>
      </c>
      <c r="H111" s="34" t="s">
        <v>20</v>
      </c>
      <c r="I111" s="34" t="s">
        <v>21</v>
      </c>
      <c r="J111" s="33" t="s">
        <v>610</v>
      </c>
      <c r="K111" s="33" t="s">
        <v>80</v>
      </c>
      <c r="L111" s="34" t="s">
        <v>177</v>
      </c>
      <c r="M111" s="34" t="s">
        <v>25</v>
      </c>
    </row>
    <row r="112" customFormat="false" ht="15" hidden="false" customHeight="false" outlineLevel="0" collapsed="false">
      <c r="A112" s="32" t="s">
        <v>611</v>
      </c>
      <c r="B112" s="33" t="s">
        <v>587</v>
      </c>
      <c r="C112" s="33" t="s">
        <v>612</v>
      </c>
      <c r="D112" s="33" t="s">
        <v>613</v>
      </c>
      <c r="E112" s="33" t="s">
        <v>614</v>
      </c>
      <c r="F112" s="33" t="s">
        <v>615</v>
      </c>
      <c r="G112" s="33" t="s">
        <v>616</v>
      </c>
      <c r="H112" s="34" t="s">
        <v>20</v>
      </c>
      <c r="I112" s="34" t="s">
        <v>21</v>
      </c>
      <c r="J112" s="33" t="s">
        <v>605</v>
      </c>
      <c r="K112" s="33" t="s">
        <v>69</v>
      </c>
      <c r="L112" s="34" t="s">
        <v>177</v>
      </c>
      <c r="M112" s="34" t="s">
        <v>25</v>
      </c>
    </row>
    <row r="113" customFormat="false" ht="23.85" hidden="false" customHeight="false" outlineLevel="0" collapsed="false">
      <c r="A113" s="32" t="s">
        <v>617</v>
      </c>
      <c r="B113" s="33" t="s">
        <v>587</v>
      </c>
      <c r="C113" s="33" t="s">
        <v>533</v>
      </c>
      <c r="D113" s="33" t="s">
        <v>618</v>
      </c>
      <c r="E113" s="33" t="s">
        <v>619</v>
      </c>
      <c r="F113" s="33" t="s">
        <v>620</v>
      </c>
      <c r="G113" s="33" t="s">
        <v>621</v>
      </c>
      <c r="H113" s="34" t="s">
        <v>20</v>
      </c>
      <c r="I113" s="34" t="s">
        <v>21</v>
      </c>
      <c r="J113" s="33" t="s">
        <v>622</v>
      </c>
      <c r="K113" s="33" t="s">
        <v>23</v>
      </c>
      <c r="L113" s="34" t="s">
        <v>177</v>
      </c>
      <c r="M113" s="34" t="s">
        <v>25</v>
      </c>
    </row>
    <row r="114" customFormat="false" ht="15" hidden="false" customHeight="false" outlineLevel="0" collapsed="false">
      <c r="A114" s="35" t="s">
        <v>623</v>
      </c>
      <c r="B114" s="36" t="s">
        <v>624</v>
      </c>
      <c r="C114" s="36" t="s">
        <v>625</v>
      </c>
      <c r="D114" s="36" t="s">
        <v>626</v>
      </c>
      <c r="E114" s="36" t="s">
        <v>627</v>
      </c>
      <c r="F114" s="36" t="s">
        <v>628</v>
      </c>
      <c r="G114" s="36" t="s">
        <v>629</v>
      </c>
      <c r="H114" s="37" t="s">
        <v>40</v>
      </c>
      <c r="I114" s="37" t="s">
        <v>21</v>
      </c>
      <c r="J114" s="36" t="s">
        <v>13</v>
      </c>
      <c r="K114" s="36" t="s">
        <v>630</v>
      </c>
      <c r="L114" s="37" t="s">
        <v>24</v>
      </c>
      <c r="M114" s="37" t="s">
        <v>25</v>
      </c>
    </row>
    <row r="115" customFormat="false" ht="15" hidden="false" customHeight="false" outlineLevel="0" collapsed="false">
      <c r="A115" s="35" t="s">
        <v>631</v>
      </c>
      <c r="B115" s="36" t="s">
        <v>624</v>
      </c>
      <c r="C115" s="36" t="s">
        <v>442</v>
      </c>
      <c r="D115" s="36" t="s">
        <v>632</v>
      </c>
      <c r="E115" s="36" t="s">
        <v>633</v>
      </c>
      <c r="F115" s="36" t="s">
        <v>634</v>
      </c>
      <c r="G115" s="36" t="s">
        <v>635</v>
      </c>
      <c r="H115" s="37" t="s">
        <v>20</v>
      </c>
      <c r="I115" s="37" t="s">
        <v>41</v>
      </c>
      <c r="J115" s="36" t="s">
        <v>100</v>
      </c>
      <c r="K115" s="36" t="s">
        <v>630</v>
      </c>
      <c r="L115" s="37" t="s">
        <v>636</v>
      </c>
      <c r="M115" s="37" t="s">
        <v>25</v>
      </c>
    </row>
    <row r="116" customFormat="false" ht="15" hidden="false" customHeight="false" outlineLevel="0" collapsed="false">
      <c r="A116" s="35" t="s">
        <v>637</v>
      </c>
      <c r="B116" s="36" t="s">
        <v>624</v>
      </c>
      <c r="C116" s="36" t="s">
        <v>442</v>
      </c>
      <c r="D116" s="36" t="s">
        <v>638</v>
      </c>
      <c r="E116" s="36" t="s">
        <v>639</v>
      </c>
      <c r="F116" s="36" t="s">
        <v>640</v>
      </c>
      <c r="G116" s="36" t="s">
        <v>641</v>
      </c>
      <c r="H116" s="37" t="s">
        <v>40</v>
      </c>
      <c r="I116" s="37" t="s">
        <v>154</v>
      </c>
      <c r="J116" s="36" t="s">
        <v>598</v>
      </c>
      <c r="K116" s="36" t="s">
        <v>630</v>
      </c>
      <c r="L116" s="37" t="s">
        <v>636</v>
      </c>
      <c r="M116" s="37" t="s">
        <v>25</v>
      </c>
    </row>
  </sheetData>
  <autoFilter ref="A1:M1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32.8" hidden="false" customHeight="false" outlineLevel="0" collapsed="false">
      <c r="A1" s="38" t="s">
        <v>642</v>
      </c>
    </row>
    <row r="3" customFormat="false" ht="15" hidden="false" customHeight="false" outlineLevel="0" collapsed="false">
      <c r="A3" s="39" t="s">
        <v>643</v>
      </c>
      <c r="B3" s="39" t="s">
        <v>644</v>
      </c>
    </row>
    <row r="4" customFormat="false" ht="23.85" hidden="false" customHeight="false" outlineLevel="0" collapsed="false">
      <c r="A4" s="40" t="s">
        <v>0</v>
      </c>
      <c r="B4" s="41" t="s">
        <v>645</v>
      </c>
    </row>
    <row r="5" customFormat="false" ht="15" hidden="false" customHeight="false" outlineLevel="0" collapsed="false">
      <c r="A5" s="40" t="s">
        <v>1</v>
      </c>
      <c r="B5" s="41" t="s">
        <v>646</v>
      </c>
    </row>
    <row r="6" customFormat="false" ht="15" hidden="false" customHeight="false" outlineLevel="0" collapsed="false">
      <c r="A6" s="40" t="s">
        <v>2</v>
      </c>
      <c r="B6" s="41" t="s">
        <v>647</v>
      </c>
    </row>
    <row r="7" customFormat="false" ht="15" hidden="false" customHeight="false" outlineLevel="0" collapsed="false">
      <c r="A7" s="40" t="s">
        <v>3</v>
      </c>
      <c r="B7" s="41" t="s">
        <v>648</v>
      </c>
    </row>
    <row r="8" customFormat="false" ht="15" hidden="false" customHeight="false" outlineLevel="0" collapsed="false">
      <c r="A8" s="40" t="s">
        <v>4</v>
      </c>
      <c r="B8" s="41" t="s">
        <v>649</v>
      </c>
    </row>
    <row r="9" customFormat="false" ht="15" hidden="false" customHeight="false" outlineLevel="0" collapsed="false">
      <c r="A9" s="40" t="s">
        <v>5</v>
      </c>
      <c r="B9" s="41" t="s">
        <v>650</v>
      </c>
    </row>
    <row r="10" customFormat="false" ht="15" hidden="false" customHeight="false" outlineLevel="0" collapsed="false">
      <c r="A10" s="40" t="s">
        <v>6</v>
      </c>
      <c r="B10" s="41" t="s">
        <v>651</v>
      </c>
    </row>
    <row r="11" customFormat="false" ht="15" hidden="false" customHeight="false" outlineLevel="0" collapsed="false">
      <c r="A11" s="40" t="s">
        <v>7</v>
      </c>
      <c r="B11" s="41" t="s">
        <v>652</v>
      </c>
    </row>
    <row r="12" customFormat="false" ht="15" hidden="false" customHeight="false" outlineLevel="0" collapsed="false">
      <c r="A12" s="40" t="s">
        <v>8</v>
      </c>
      <c r="B12" s="41" t="s">
        <v>653</v>
      </c>
    </row>
    <row r="13" customFormat="false" ht="15" hidden="false" customHeight="false" outlineLevel="0" collapsed="false">
      <c r="A13" s="40" t="s">
        <v>9</v>
      </c>
      <c r="B13" s="41" t="s">
        <v>654</v>
      </c>
    </row>
    <row r="14" customFormat="false" ht="15" hidden="false" customHeight="false" outlineLevel="0" collapsed="false">
      <c r="A14" s="40" t="s">
        <v>10</v>
      </c>
      <c r="B14" s="41" t="s">
        <v>655</v>
      </c>
    </row>
    <row r="15" customFormat="false" ht="15" hidden="false" customHeight="false" outlineLevel="0" collapsed="false">
      <c r="A15" s="40" t="s">
        <v>11</v>
      </c>
      <c r="B15" s="41" t="s">
        <v>656</v>
      </c>
    </row>
    <row r="16" customFormat="false" ht="15" hidden="false" customHeight="false" outlineLevel="0" collapsed="false">
      <c r="A16" s="40" t="s">
        <v>12</v>
      </c>
      <c r="B16" s="41" t="s">
        <v>657</v>
      </c>
    </row>
    <row r="18" customFormat="false" ht="15" hidden="false" customHeight="false" outlineLevel="0" collapsed="false">
      <c r="A18" s="39" t="s">
        <v>658</v>
      </c>
      <c r="B18" s="39" t="s">
        <v>659</v>
      </c>
    </row>
    <row r="19" customFormat="false" ht="15" hidden="false" customHeight="false" outlineLevel="0" collapsed="false">
      <c r="A19" s="40" t="s">
        <v>40</v>
      </c>
      <c r="B19" s="41" t="s">
        <v>660</v>
      </c>
    </row>
    <row r="20" customFormat="false" ht="15" hidden="false" customHeight="false" outlineLevel="0" collapsed="false">
      <c r="A20" s="40" t="s">
        <v>20</v>
      </c>
      <c r="B20" s="41" t="s">
        <v>661</v>
      </c>
    </row>
    <row r="21" customFormat="false" ht="15" hidden="false" customHeight="false" outlineLevel="0" collapsed="false">
      <c r="A21" s="40" t="s">
        <v>57</v>
      </c>
      <c r="B21" s="41" t="s">
        <v>662</v>
      </c>
    </row>
    <row r="22" customFormat="false" ht="15" hidden="false" customHeight="false" outlineLevel="0" collapsed="false">
      <c r="A22" s="40" t="s">
        <v>484</v>
      </c>
      <c r="B22" s="41" t="s">
        <v>663</v>
      </c>
    </row>
    <row r="24" customFormat="false" ht="15" hidden="false" customHeight="false" outlineLevel="0" collapsed="false">
      <c r="A24" s="39" t="s">
        <v>664</v>
      </c>
      <c r="B24" s="39" t="s">
        <v>644</v>
      </c>
    </row>
    <row r="25" customFormat="false" ht="15" hidden="false" customHeight="false" outlineLevel="0" collapsed="false">
      <c r="A25" s="40" t="s">
        <v>21</v>
      </c>
      <c r="B25" s="41" t="s">
        <v>665</v>
      </c>
    </row>
    <row r="26" customFormat="false" ht="15" hidden="false" customHeight="false" outlineLevel="0" collapsed="false">
      <c r="A26" s="40" t="s">
        <v>41</v>
      </c>
      <c r="B26" s="41" t="s">
        <v>666</v>
      </c>
    </row>
    <row r="27" customFormat="false" ht="15" hidden="false" customHeight="false" outlineLevel="0" collapsed="false">
      <c r="A27" s="40" t="s">
        <v>154</v>
      </c>
      <c r="B27" s="41" t="s">
        <v>667</v>
      </c>
    </row>
    <row r="28" customFormat="false" ht="15" hidden="false" customHeight="false" outlineLevel="0" collapsed="false">
      <c r="A28" s="40" t="s">
        <v>668</v>
      </c>
      <c r="B28" s="41" t="s">
        <v>669</v>
      </c>
    </row>
    <row r="30" customFormat="false" ht="15" hidden="false" customHeight="false" outlineLevel="0" collapsed="false">
      <c r="A30" s="39" t="s">
        <v>11</v>
      </c>
      <c r="B30" s="39" t="s">
        <v>644</v>
      </c>
    </row>
    <row r="31" customFormat="false" ht="15" hidden="false" customHeight="false" outlineLevel="0" collapsed="false">
      <c r="A31" s="40" t="s">
        <v>24</v>
      </c>
      <c r="B31" s="41" t="s">
        <v>670</v>
      </c>
    </row>
    <row r="32" customFormat="false" ht="15" hidden="false" customHeight="false" outlineLevel="0" collapsed="false">
      <c r="A32" s="40" t="s">
        <v>177</v>
      </c>
      <c r="B32" s="41" t="s">
        <v>671</v>
      </c>
    </row>
    <row r="33" customFormat="false" ht="15" hidden="false" customHeight="false" outlineLevel="0" collapsed="false">
      <c r="A33" s="40" t="s">
        <v>63</v>
      </c>
      <c r="B33" s="41" t="s">
        <v>672</v>
      </c>
    </row>
    <row r="34" customFormat="false" ht="15" hidden="false" customHeight="false" outlineLevel="0" collapsed="false">
      <c r="A34" s="40" t="s">
        <v>574</v>
      </c>
      <c r="B34" s="41" t="s">
        <v>673</v>
      </c>
    </row>
    <row r="35" customFormat="false" ht="15" hidden="false" customHeight="false" outlineLevel="0" collapsed="false">
      <c r="A35" s="40" t="s">
        <v>636</v>
      </c>
      <c r="B35" s="41" t="s">
        <v>674</v>
      </c>
    </row>
    <row r="37" customFormat="false" ht="15" hidden="false" customHeight="false" outlineLevel="0" collapsed="false">
      <c r="A37" s="42" t="s">
        <v>675</v>
      </c>
    </row>
    <row r="38" customFormat="false" ht="57.45" hidden="false" customHeight="false" outlineLevel="0" collapsed="false">
      <c r="A38" s="41" t="s">
        <v>676</v>
      </c>
    </row>
    <row r="39" customFormat="false" ht="68.65" hidden="false" customHeight="false" outlineLevel="0" collapsed="false">
      <c r="A39" s="41" t="s">
        <v>677</v>
      </c>
    </row>
    <row r="40" customFormat="false" ht="46.25" hidden="false" customHeight="false" outlineLevel="0" collapsed="false">
      <c r="A40" s="41" t="s">
        <v>678</v>
      </c>
    </row>
    <row r="41" customFormat="false" ht="57.45" hidden="false" customHeight="false" outlineLevel="0" collapsed="false">
      <c r="A41" s="41" t="s">
        <v>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38" t="s">
        <v>680</v>
      </c>
    </row>
    <row r="3" customFormat="false" ht="15" hidden="false" customHeight="false" outlineLevel="0" collapsed="false">
      <c r="A3" s="40" t="s">
        <v>681</v>
      </c>
      <c r="B3" s="43" t="n">
        <f aca="false">COUNTA(Backlog!$A$2:$A$116)</f>
        <v>115</v>
      </c>
    </row>
    <row r="5" customFormat="false" ht="15" hidden="false" customHeight="false" outlineLevel="0" collapsed="false">
      <c r="A5" s="39" t="s">
        <v>682</v>
      </c>
      <c r="B5" s="39" t="s">
        <v>683</v>
      </c>
    </row>
    <row r="6" customFormat="false" ht="15" hidden="false" customHeight="false" outlineLevel="0" collapsed="false">
      <c r="A6" s="41" t="s">
        <v>14</v>
      </c>
      <c r="B6" s="44" t="n">
        <f aca="false">COUNTIF(Backlog!$B$2:$B$116,A6)</f>
        <v>17</v>
      </c>
    </row>
    <row r="7" customFormat="false" ht="15" hidden="false" customHeight="false" outlineLevel="0" collapsed="false">
      <c r="A7" s="41" t="s">
        <v>111</v>
      </c>
      <c r="B7" s="44" t="n">
        <f aca="false">COUNTIF(Backlog!$B$2:$B$116,A7)</f>
        <v>15</v>
      </c>
    </row>
    <row r="8" customFormat="false" ht="15" hidden="false" customHeight="false" outlineLevel="0" collapsed="false">
      <c r="A8" s="41" t="s">
        <v>195</v>
      </c>
      <c r="B8" s="44" t="n">
        <f aca="false">COUNTIF(Backlog!$B$2:$B$116,A8)</f>
        <v>16</v>
      </c>
    </row>
    <row r="9" customFormat="false" ht="15" hidden="false" customHeight="false" outlineLevel="0" collapsed="false">
      <c r="A9" s="41" t="s">
        <v>276</v>
      </c>
      <c r="B9" s="44" t="n">
        <f aca="false">COUNTIF(Backlog!$B$2:$B$116,A9)</f>
        <v>9</v>
      </c>
    </row>
    <row r="10" customFormat="false" ht="15" hidden="false" customHeight="false" outlineLevel="0" collapsed="false">
      <c r="A10" s="41" t="s">
        <v>322</v>
      </c>
      <c r="B10" s="44" t="n">
        <f aca="false">COUNTIF(Backlog!$B$2:$B$116,A10)</f>
        <v>7</v>
      </c>
    </row>
    <row r="11" customFormat="false" ht="15" hidden="false" customHeight="false" outlineLevel="0" collapsed="false">
      <c r="A11" s="41" t="s">
        <v>358</v>
      </c>
      <c r="B11" s="44" t="n">
        <f aca="false">COUNTIF(Backlog!$B$2:$B$116,A11)</f>
        <v>6</v>
      </c>
    </row>
    <row r="12" customFormat="false" ht="15" hidden="false" customHeight="false" outlineLevel="0" collapsed="false">
      <c r="A12" s="41" t="s">
        <v>391</v>
      </c>
      <c r="B12" s="44" t="n">
        <f aca="false">COUNTIF(Backlog!$B$2:$B$116,A12)</f>
        <v>19</v>
      </c>
    </row>
    <row r="13" customFormat="false" ht="15" hidden="false" customHeight="false" outlineLevel="0" collapsed="false">
      <c r="A13" s="41" t="s">
        <v>492</v>
      </c>
      <c r="B13" s="44" t="n">
        <f aca="false">COUNTIF(Backlog!$B$2:$B$116,A13)</f>
        <v>8</v>
      </c>
    </row>
    <row r="14" customFormat="false" ht="15" hidden="false" customHeight="false" outlineLevel="0" collapsed="false">
      <c r="A14" s="41" t="s">
        <v>538</v>
      </c>
      <c r="B14" s="44" t="n">
        <f aca="false">COUNTIF(Backlog!$B$2:$B$116,A14)</f>
        <v>4</v>
      </c>
    </row>
    <row r="15" customFormat="false" ht="15" hidden="false" customHeight="false" outlineLevel="0" collapsed="false">
      <c r="A15" s="41" t="s">
        <v>559</v>
      </c>
      <c r="B15" s="44" t="n">
        <f aca="false">COUNTIF(Backlog!$B$2:$B$116,A15)</f>
        <v>5</v>
      </c>
    </row>
    <row r="16" customFormat="false" ht="15" hidden="false" customHeight="false" outlineLevel="0" collapsed="false">
      <c r="A16" s="41" t="s">
        <v>587</v>
      </c>
      <c r="B16" s="44" t="n">
        <f aca="false">COUNTIF(Backlog!$B$2:$B$116,A16)</f>
        <v>6</v>
      </c>
    </row>
    <row r="17" customFormat="false" ht="15" hidden="false" customHeight="false" outlineLevel="0" collapsed="false">
      <c r="A17" s="41" t="s">
        <v>624</v>
      </c>
      <c r="B17" s="44" t="n">
        <f aca="false">COUNTIF(Backlog!$B$2:$B$116,A17)</f>
        <v>3</v>
      </c>
    </row>
    <row r="19" customFormat="false" ht="15" hidden="false" customHeight="false" outlineLevel="0" collapsed="false">
      <c r="A19" s="39" t="s">
        <v>684</v>
      </c>
      <c r="B19" s="39" t="s">
        <v>683</v>
      </c>
    </row>
    <row r="20" customFormat="false" ht="15" hidden="false" customHeight="false" outlineLevel="0" collapsed="false">
      <c r="A20" s="41" t="s">
        <v>24</v>
      </c>
      <c r="B20" s="44" t="n">
        <f aca="false">COUNTIF(Backlog!$L$2:$L$116,A20)</f>
        <v>26</v>
      </c>
    </row>
    <row r="21" customFormat="false" ht="15" hidden="false" customHeight="false" outlineLevel="0" collapsed="false">
      <c r="A21" s="41" t="s">
        <v>177</v>
      </c>
      <c r="B21" s="44" t="n">
        <f aca="false">COUNTIF(Backlog!$L$2:$L$116,A21)</f>
        <v>7</v>
      </c>
    </row>
    <row r="22" customFormat="false" ht="15" hidden="false" customHeight="false" outlineLevel="0" collapsed="false">
      <c r="A22" s="41" t="s">
        <v>63</v>
      </c>
      <c r="B22" s="44" t="n">
        <f aca="false">COUNTIF(Backlog!$L$2:$L$116,A22)</f>
        <v>78</v>
      </c>
    </row>
    <row r="23" customFormat="false" ht="15" hidden="false" customHeight="false" outlineLevel="0" collapsed="false">
      <c r="A23" s="41" t="s">
        <v>574</v>
      </c>
      <c r="B23" s="44" t="n">
        <f aca="false">COUNTIF(Backlog!$L$2:$L$116,A23)</f>
        <v>2</v>
      </c>
    </row>
    <row r="24" customFormat="false" ht="15" hidden="false" customHeight="false" outlineLevel="0" collapsed="false">
      <c r="A24" s="41" t="s">
        <v>636</v>
      </c>
      <c r="B24" s="44" t="n">
        <f aca="false">COUNTIF(Backlog!$L$2:$L$116,A24)</f>
        <v>2</v>
      </c>
    </row>
    <row r="26" customFormat="false" ht="15" hidden="false" customHeight="false" outlineLevel="0" collapsed="false">
      <c r="A26" s="39" t="s">
        <v>685</v>
      </c>
      <c r="B26" s="39" t="s">
        <v>683</v>
      </c>
    </row>
    <row r="27" customFormat="false" ht="15" hidden="false" customHeight="false" outlineLevel="0" collapsed="false">
      <c r="A27" s="41" t="s">
        <v>40</v>
      </c>
      <c r="B27" s="44" t="n">
        <f aca="false">COUNTIF(Backlog!$H$2:$H$116,A27)</f>
        <v>25</v>
      </c>
    </row>
    <row r="28" customFormat="false" ht="15" hidden="false" customHeight="false" outlineLevel="0" collapsed="false">
      <c r="A28" s="41" t="s">
        <v>20</v>
      </c>
      <c r="B28" s="44" t="n">
        <f aca="false">COUNTIF(Backlog!$H$2:$H$116,A28)</f>
        <v>72</v>
      </c>
    </row>
    <row r="29" customFormat="false" ht="15" hidden="false" customHeight="false" outlineLevel="0" collapsed="false">
      <c r="A29" s="41" t="s">
        <v>57</v>
      </c>
      <c r="B29" s="44" t="n">
        <f aca="false">COUNTIF(Backlog!$H$2:$H$116,A29)</f>
        <v>17</v>
      </c>
    </row>
    <row r="30" customFormat="false" ht="15" hidden="false" customHeight="false" outlineLevel="0" collapsed="false">
      <c r="A30" s="41" t="s">
        <v>484</v>
      </c>
      <c r="B30" s="44" t="n">
        <f aca="false">COUNTIF(Backlog!$H$2:$H$116,A30)</f>
        <v>1</v>
      </c>
    </row>
    <row r="32" customFormat="false" ht="15" hidden="false" customHeight="false" outlineLevel="0" collapsed="false">
      <c r="A32" s="39" t="s">
        <v>686</v>
      </c>
      <c r="B32" s="39" t="s">
        <v>683</v>
      </c>
    </row>
    <row r="33" customFormat="false" ht="15" hidden="false" customHeight="false" outlineLevel="0" collapsed="false">
      <c r="A33" s="41" t="s">
        <v>21</v>
      </c>
      <c r="B33" s="44" t="n">
        <f aca="false">COUNTIF(Backlog!$I$2:$I$116,A33)</f>
        <v>72</v>
      </c>
    </row>
    <row r="34" customFormat="false" ht="15" hidden="false" customHeight="false" outlineLevel="0" collapsed="false">
      <c r="A34" s="41" t="s">
        <v>41</v>
      </c>
      <c r="B34" s="44" t="n">
        <f aca="false">COUNTIF(Backlog!$I$2:$I$116,A34)</f>
        <v>31</v>
      </c>
    </row>
    <row r="35" customFormat="false" ht="15" hidden="false" customHeight="false" outlineLevel="0" collapsed="false">
      <c r="A35" s="41" t="s">
        <v>154</v>
      </c>
      <c r="B35" s="44" t="n">
        <f aca="false">COUNTIF(Backlog!$I$2:$I$116,A35)</f>
        <v>12</v>
      </c>
    </row>
    <row r="36" customFormat="false" ht="15" hidden="false" customHeight="false" outlineLevel="0" collapsed="false">
      <c r="A36" s="41" t="s">
        <v>668</v>
      </c>
      <c r="B36" s="44" t="n">
        <f aca="false">COUNTIF(Backlog!$I$2:$I$116,A36)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2026-06-17T18:09:56Z</dcterms:created>
  <dc:creator>openpyxl</dc:creator>
  <dc:description/>
  <dc:language>en-US</dc:language>
  <cp:lastModifiedBy/>
  <dcterms:modified xsi:type="dcterms:W3CDTF">2026-06-17T18:09:57Z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